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Employee Master" sheetId="2" r:id="rId6"/>
    <sheet state="visible" name="Targets" sheetId="3" r:id="rId7"/>
    <sheet state="visible" name="Daily Log" sheetId="4" r:id="rId8"/>
    <sheet state="visible" name="Dashboard" sheetId="5" r:id="rId9"/>
    <sheet state="visible" name="Weekly Summary" sheetId="6" r:id="rId10"/>
    <sheet state="visible" name="Employee KPI Summary" sheetId="7" r:id="rId11"/>
  </sheets>
  <definedNames/>
  <calcPr/>
</workbook>
</file>

<file path=xl/sharedStrings.xml><?xml version="1.0" encoding="utf-8"?>
<sst xmlns="http://schemas.openxmlformats.org/spreadsheetml/2006/main" count="3411" uniqueCount="206">
  <si>
    <t>Academic SME Productivity Tracker</t>
  </si>
  <si>
    <t>Employee ID</t>
  </si>
  <si>
    <t>Employee Name</t>
  </si>
  <si>
    <t>Subject / Domain</t>
  </si>
  <si>
    <t>Designation</t>
  </si>
  <si>
    <t>Team / Department</t>
  </si>
  <si>
    <t>Joining Date</t>
  </si>
  <si>
    <t>Reporting Manager</t>
  </si>
  <si>
    <t>Employment Status</t>
  </si>
  <si>
    <t>SME001</t>
  </si>
  <si>
    <t>Amit Sharma</t>
  </si>
  <si>
    <t>Aarav Sharma</t>
  </si>
  <si>
    <t>Purpose</t>
  </si>
  <si>
    <t>Academic SME</t>
  </si>
  <si>
    <t>Mathematics</t>
  </si>
  <si>
    <t>1</t>
  </si>
  <si>
    <t>Use the Daily Log to enter one row per SME per working day.</t>
  </si>
  <si>
    <t>Durgesh Yadav</t>
  </si>
  <si>
    <t>2</t>
  </si>
  <si>
    <t>Enter planned vs. completed work to measure productivity.</t>
  </si>
  <si>
    <t>3</t>
  </si>
  <si>
    <t>Active</t>
  </si>
  <si>
    <t>Record quality, turnaround time, rework and productive hours.</t>
  </si>
  <si>
    <t>SME002</t>
  </si>
  <si>
    <t>4</t>
  </si>
  <si>
    <t>Priya Singh</t>
  </si>
  <si>
    <t>Use the Dashboard for management-level monitoring.</t>
  </si>
  <si>
    <t>Aditya Verma</t>
  </si>
  <si>
    <t>5</t>
  </si>
  <si>
    <t>Targets can be changed in the Targets sheet without changing formulas.</t>
  </si>
  <si>
    <t>KPI</t>
  </si>
  <si>
    <t>Science</t>
  </si>
  <si>
    <t>6</t>
  </si>
  <si>
    <t>Date</t>
  </si>
  <si>
    <t>For Google Sheets: upload this .xlsx file to Google Drive and choose Open with Google Sheets.</t>
  </si>
  <si>
    <t>Recommended SME KPIs</t>
  </si>
  <si>
    <t>SME003</t>
  </si>
  <si>
    <t>Rohit Kumar</t>
  </si>
  <si>
    <t>Ananya Singh</t>
  </si>
  <si>
    <t>Productivity</t>
  </si>
  <si>
    <t>Social Science</t>
  </si>
  <si>
    <t>SME004</t>
  </si>
  <si>
    <t>Neha Verma</t>
  </si>
  <si>
    <t>Arjun Kumar</t>
  </si>
  <si>
    <t>Senior Academic SME</t>
  </si>
  <si>
    <t>SME005</t>
  </si>
  <si>
    <t>Ankit Yadav</t>
  </si>
  <si>
    <t>SME Name</t>
  </si>
  <si>
    <t>Ayush Mishra</t>
  </si>
  <si>
    <t>Completed tasks / planned tasks</t>
  </si>
  <si>
    <t>Work Type</t>
  </si>
  <si>
    <t>Output</t>
  </si>
  <si>
    <t>SME006</t>
  </si>
  <si>
    <t>Pooja Mishra</t>
  </si>
  <si>
    <t>Questions/content created and reviewed</t>
  </si>
  <si>
    <t>Bhavya Gupta</t>
  </si>
  <si>
    <t>Target</t>
  </si>
  <si>
    <t>Quality</t>
  </si>
  <si>
    <t>Quality score, accuracy, rework rate</t>
  </si>
  <si>
    <t>Unit</t>
  </si>
  <si>
    <t>Efficiency</t>
  </si>
  <si>
    <t>Weight</t>
  </si>
  <si>
    <t>Average turnaround time and productive hours</t>
  </si>
  <si>
    <t>SME007</t>
  </si>
  <si>
    <t>Task
Planned</t>
  </si>
  <si>
    <t>Vikas Gupta</t>
  </si>
  <si>
    <t>Chetan Yadav</t>
  </si>
  <si>
    <t>Reliability</t>
  </si>
  <si>
    <t>Attendance and on-time completion</t>
  </si>
  <si>
    <t>Task Completion Rate</t>
  </si>
  <si>
    <t>Overall Score</t>
  </si>
  <si>
    <t>Weighted KPI score shown on Dashboard</t>
  </si>
  <si>
    <t>SME008</t>
  </si>
  <si>
    <t>Shweta Singh</t>
  </si>
  <si>
    <t>Tasks Completed</t>
  </si>
  <si>
    <t>Deepika Tiwari</t>
  </si>
  <si>
    <t>Quality Score %</t>
  </si>
  <si>
    <t>SME009</t>
  </si>
  <si>
    <t>Saurabh Jain</t>
  </si>
  <si>
    <t>Accurate Items</t>
  </si>
  <si>
    <t>Divyansh Patel</t>
  </si>
  <si>
    <t>Items Audited</t>
  </si>
  <si>
    <t>Rework Items</t>
  </si>
  <si>
    <t>SME010</t>
  </si>
  <si>
    <t>Kavita Sharma</t>
  </si>
  <si>
    <t>Isha Agarwal</t>
  </si>
  <si>
    <t>Avg TAT (hrs)</t>
  </si>
  <si>
    <t>On-Time Items</t>
  </si>
  <si>
    <t>Total Due Items</t>
  </si>
  <si>
    <t>SME011</t>
  </si>
  <si>
    <t>%</t>
  </si>
  <si>
    <t>Manish Kumar</t>
  </si>
  <si>
    <t>Productive Hours</t>
  </si>
  <si>
    <t>Karan Singh</t>
  </si>
  <si>
    <t>Quality Score</t>
  </si>
  <si>
    <t>Attendance</t>
  </si>
  <si>
    <t>Remarks</t>
  </si>
  <si>
    <t>On-Time Rate</t>
  </si>
  <si>
    <t>Completion Rate %</t>
  </si>
  <si>
    <t>SME012</t>
  </si>
  <si>
    <t>Riya Patel</t>
  </si>
  <si>
    <t>Accuracy Rate</t>
  </si>
  <si>
    <t>Kavya Sharma</t>
  </si>
  <si>
    <t>Accuracy Rate %</t>
  </si>
  <si>
    <t>Technology</t>
  </si>
  <si>
    <t>Rework Rate %</t>
  </si>
  <si>
    <t>On-Time Rate %</t>
  </si>
  <si>
    <t>Overall KPI %</t>
  </si>
  <si>
    <t>SME013</t>
  </si>
  <si>
    <t>Deepak Singh</t>
  </si>
  <si>
    <t>Manish Verma</t>
  </si>
  <si>
    <t>hours/day</t>
  </si>
  <si>
    <t>Rework Rate</t>
  </si>
  <si>
    <t>lower is better</t>
  </si>
  <si>
    <t>SME014</t>
  </si>
  <si>
    <t>Nisha Gupta</t>
  </si>
  <si>
    <t>Meera Joshi</t>
  </si>
  <si>
    <t>SME015</t>
  </si>
  <si>
    <t>Arjun Verma</t>
  </si>
  <si>
    <t>Mohit Kumar</t>
  </si>
  <si>
    <t>Devansh Singh</t>
  </si>
  <si>
    <t>Content Creation</t>
  </si>
  <si>
    <t>SME016</t>
  </si>
  <si>
    <t>Sneha Kumari</t>
  </si>
  <si>
    <t>Nandini Gupta</t>
  </si>
  <si>
    <t>SME017</t>
  </si>
  <si>
    <t>Gaurav Tiwari</t>
  </si>
  <si>
    <t>Nikhil Mishra</t>
  </si>
  <si>
    <t>SME018</t>
  </si>
  <si>
    <t>Anjali Singh</t>
  </si>
  <si>
    <t>Pankaj Yadav</t>
  </si>
  <si>
    <t>SME019</t>
  </si>
  <si>
    <t>Mohit Agarwal</t>
  </si>
  <si>
    <t>Pooja Singh</t>
  </si>
  <si>
    <t>SME020</t>
  </si>
  <si>
    <t>Swati Mishra</t>
  </si>
  <si>
    <t>Pranav Agarwal</t>
  </si>
  <si>
    <t>SME021</t>
  </si>
  <si>
    <t>Priya Verma</t>
  </si>
  <si>
    <t>SME022</t>
  </si>
  <si>
    <t>Rahul Tiwari</t>
  </si>
  <si>
    <t>SME023</t>
  </si>
  <si>
    <t>Rakesh Kumar</t>
  </si>
  <si>
    <t>Present</t>
  </si>
  <si>
    <t>Needs quality improvement</t>
  </si>
  <si>
    <t>SME024</t>
  </si>
  <si>
    <t>Riya Sharma</t>
  </si>
  <si>
    <t>SME025</t>
  </si>
  <si>
    <t>Rohit Gupta</t>
  </si>
  <si>
    <t>SME026</t>
  </si>
  <si>
    <t>Sakshi Patel</t>
  </si>
  <si>
    <t>SME027</t>
  </si>
  <si>
    <t>Sameer Khan</t>
  </si>
  <si>
    <t>SME028</t>
  </si>
  <si>
    <t>Shreya Mishra</t>
  </si>
  <si>
    <t>SME029</t>
  </si>
  <si>
    <t>Siddharth Singh</t>
  </si>
  <si>
    <t>SME030</t>
  </si>
  <si>
    <t>Sneha Yadav</t>
  </si>
  <si>
    <t>SME031</t>
  </si>
  <si>
    <t>Saurabh Verma</t>
  </si>
  <si>
    <t>SME032</t>
  </si>
  <si>
    <t>Tanvi Agarwal</t>
  </si>
  <si>
    <t>SME033</t>
  </si>
  <si>
    <t>Varun Sharma</t>
  </si>
  <si>
    <t>SME034</t>
  </si>
  <si>
    <t>Vivek Patel</t>
  </si>
  <si>
    <t>Physics</t>
  </si>
  <si>
    <t>Strong productivity</t>
  </si>
  <si>
    <t>Economics</t>
  </si>
  <si>
    <t>Weekly Productivity Summary</t>
  </si>
  <si>
    <t>Chemistry</t>
  </si>
  <si>
    <t>Week Starting</t>
  </si>
  <si>
    <t>Tasks Planned</t>
  </si>
  <si>
    <t>Completion %</t>
  </si>
  <si>
    <t>Avg Quality %</t>
  </si>
  <si>
    <t>Avg Productive Hrs</t>
  </si>
  <si>
    <t>Avg KPI %</t>
  </si>
  <si>
    <t>Good quality</t>
  </si>
  <si>
    <t>Biology</t>
  </si>
  <si>
    <t>Subject</t>
  </si>
  <si>
    <t>Days Logged</t>
  </si>
  <si>
    <t>Accuracy %</t>
  </si>
  <si>
    <t>Rework %</t>
  </si>
  <si>
    <t>On-Time %</t>
  </si>
  <si>
    <t>Performance Band</t>
  </si>
  <si>
    <t>Target achieved</t>
  </si>
  <si>
    <t>Excellent output</t>
  </si>
  <si>
    <t>Statistics</t>
  </si>
  <si>
    <t>On track</t>
  </si>
  <si>
    <t>Computer Science</t>
  </si>
  <si>
    <t>Needs TAT improvement</t>
  </si>
  <si>
    <t>Academic SME Productivity Dashboard</t>
  </si>
  <si>
    <t>Total Employees</t>
  </si>
  <si>
    <t>Avg Completion</t>
  </si>
  <si>
    <t>Avg Quality</t>
  </si>
  <si>
    <t>Avg KPI Score</t>
  </si>
  <si>
    <t>SME Performance Summary</t>
  </si>
  <si>
    <t>Avg Completion %</t>
  </si>
  <si>
    <t>Avg On-Time %</t>
  </si>
  <si>
    <t>Half Day</t>
  </si>
  <si>
    <t>Management View</t>
  </si>
  <si>
    <t>Use Employee KPI Summary to compare individual SME performance.</t>
  </si>
  <si>
    <t>Use Daily Log to investigate quality, TAT, attendance and rework.</t>
  </si>
  <si>
    <t>Use Weekly Summary to monitor productivity trends over time.</t>
  </si>
  <si>
    <t>Leave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</si>
</sst>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0.0%"/>
    <numFmt numFmtId="166" formatCode="0.0"/>
  </numFmts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20.0"/>
      <color rgb="FFFFFFFF"/>
      <name val="Arial"/>
      <scheme val="minor"/>
    </font>
    <font/>
    <font>
      <sz val="11.0"/>
      <color theme="1"/>
      <name val="Calibri"/>
    </font>
    <font>
      <color theme="1"/>
      <name val="Arial"/>
      <scheme val="minor"/>
    </font>
    <font>
      <b/>
      <sz val="13.0"/>
      <color rgb="FF1F4E78"/>
      <name val="Arial"/>
      <scheme val="minor"/>
    </font>
    <font>
      <b/>
      <color rgb="FF1F4E78"/>
      <name val="Arial"/>
      <scheme val="minor"/>
    </font>
    <font>
      <b/>
      <color theme="1"/>
      <name val="Arial"/>
      <scheme val="minor"/>
    </font>
    <font>
      <b/>
      <sz val="16.0"/>
      <color rgb="FF1F4E78"/>
      <name val="Arial"/>
      <scheme val="minor"/>
    </font>
    <font>
      <b/>
      <sz val="14.0"/>
      <color rgb="FF1F4E78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bottom style="thin">
        <color rgb="FFB7B7B7"/>
      </bottom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Border="1" applyFill="1" applyFont="1"/>
    <xf borderId="3" fillId="0" fontId="3" numFmtId="0" xfId="0" applyBorder="1" applyFont="1"/>
    <xf borderId="4" fillId="0" fontId="4" numFmtId="0" xfId="0" applyBorder="1" applyFont="1"/>
    <xf borderId="5" fillId="0" fontId="3" numFmtId="0" xfId="0" applyBorder="1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4" fillId="0" fontId="4" numFmtId="164" xfId="0" applyBorder="1" applyFont="1" applyNumberFormat="1"/>
    <xf borderId="0" fillId="0" fontId="4" numFmtId="0" xfId="0" applyAlignment="1" applyFont="1">
      <alignment shrinkToFit="0" wrapText="1"/>
    </xf>
    <xf borderId="4" fillId="0" fontId="4" numFmtId="0" xfId="0" applyAlignment="1" applyBorder="1" applyFont="1">
      <alignment readingOrder="0"/>
    </xf>
    <xf borderId="4" fillId="2" fontId="1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0" fillId="0" fontId="5" numFmtId="0" xfId="0" applyFont="1"/>
    <xf borderId="4" fillId="2" fontId="1" numFmtId="0" xfId="0" applyAlignment="1" applyBorder="1" applyFill="1" applyFont="1">
      <alignment horizontal="center" readingOrder="0" shrinkToFit="0" vertical="center" wrapText="1"/>
    </xf>
    <xf borderId="4" fillId="0" fontId="4" numFmtId="165" xfId="0" applyBorder="1" applyFont="1" applyNumberFormat="1"/>
    <xf borderId="4" fillId="0" fontId="4" numFmtId="166" xfId="0" applyBorder="1" applyFont="1" applyNumberFormat="1"/>
    <xf borderId="4" fillId="0" fontId="4" numFmtId="164" xfId="0" applyAlignment="1" applyBorder="1" applyFont="1" applyNumberFormat="1">
      <alignment vertical="center"/>
    </xf>
    <xf borderId="4" fillId="0" fontId="4" numFmtId="0" xfId="0" applyAlignment="1" applyBorder="1" applyFont="1">
      <alignment vertical="center"/>
    </xf>
    <xf borderId="4" fillId="0" fontId="4" numFmtId="165" xfId="0" applyAlignment="1" applyBorder="1" applyFont="1" applyNumberFormat="1">
      <alignment vertical="center"/>
    </xf>
    <xf borderId="2" fillId="3" fontId="7" numFmtId="0" xfId="0" applyAlignment="1" applyBorder="1" applyFill="1" applyFont="1">
      <alignment horizontal="center"/>
    </xf>
    <xf borderId="0" fillId="0" fontId="9" numFmtId="1" xfId="0" applyAlignment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0" fillId="0" fontId="10" numFmtId="0" xfId="0" applyFont="1"/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KPI Score by SME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Dashboard!$H$8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Dashboard!$A$9:$A$28</c:f>
            </c:strRef>
          </c:cat>
          <c:val>
            <c:numRef>
              <c:f>Dashboard!$H$9:$H$28</c:f>
              <c:numCache/>
            </c:numRef>
          </c:val>
        </c:ser>
        <c:axId val="900336988"/>
        <c:axId val="691741779"/>
      </c:barChart>
      <c:catAx>
        <c:axId val="900336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741779"/>
      </c:catAx>
      <c:valAx>
        <c:axId val="691741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KPI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336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0</xdr:rowOff>
    </xdr:from>
    <xdr:ext cx="575310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70.0"/>
    <col customWidth="1" min="3" max="26" width="7.63"/>
  </cols>
  <sheetData>
    <row r="1">
      <c r="A1" s="2" t="s">
        <v>0</v>
      </c>
      <c r="B1" s="3"/>
      <c r="C1" s="3"/>
      <c r="D1" s="3"/>
      <c r="E1" s="3"/>
      <c r="F1" s="5"/>
    </row>
    <row r="3">
      <c r="A3" s="7" t="s">
        <v>12</v>
      </c>
    </row>
    <row r="4">
      <c r="A4" s="8" t="s">
        <v>15</v>
      </c>
      <c r="B4" s="10" t="s">
        <v>16</v>
      </c>
    </row>
    <row r="5">
      <c r="A5" s="8" t="s">
        <v>18</v>
      </c>
      <c r="B5" s="10" t="s">
        <v>19</v>
      </c>
    </row>
    <row r="6">
      <c r="A6" s="8" t="s">
        <v>20</v>
      </c>
      <c r="B6" s="10" t="s">
        <v>22</v>
      </c>
    </row>
    <row r="7">
      <c r="A7" s="8" t="s">
        <v>24</v>
      </c>
      <c r="B7" s="10" t="s">
        <v>26</v>
      </c>
    </row>
    <row r="8">
      <c r="A8" s="8" t="s">
        <v>28</v>
      </c>
      <c r="B8" s="10" t="s">
        <v>29</v>
      </c>
    </row>
    <row r="9">
      <c r="A9" s="8" t="s">
        <v>32</v>
      </c>
      <c r="B9" s="10" t="s">
        <v>34</v>
      </c>
    </row>
    <row r="12">
      <c r="A12" s="7" t="s">
        <v>35</v>
      </c>
    </row>
    <row r="13">
      <c r="A13" s="13" t="s">
        <v>39</v>
      </c>
      <c r="B13" s="14" t="s">
        <v>49</v>
      </c>
    </row>
    <row r="14">
      <c r="A14" s="13" t="s">
        <v>51</v>
      </c>
      <c r="B14" s="14" t="s">
        <v>54</v>
      </c>
    </row>
    <row r="15">
      <c r="A15" s="13" t="s">
        <v>57</v>
      </c>
      <c r="B15" s="14" t="s">
        <v>58</v>
      </c>
    </row>
    <row r="16">
      <c r="A16" s="13" t="s">
        <v>60</v>
      </c>
      <c r="B16" s="14" t="s">
        <v>62</v>
      </c>
    </row>
    <row r="17">
      <c r="A17" s="13" t="s">
        <v>67</v>
      </c>
      <c r="B17" s="14" t="s">
        <v>68</v>
      </c>
    </row>
    <row r="18">
      <c r="A18" s="13" t="s">
        <v>70</v>
      </c>
      <c r="B18" s="14" t="s">
        <v>71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4" width="19.25"/>
    <col customWidth="1" min="5" max="5" width="17.5"/>
    <col customWidth="1" min="6" max="6" width="14.0"/>
    <col customWidth="1" min="7" max="7" width="19.25"/>
    <col customWidth="1" min="8" max="8" width="15.75"/>
    <col customWidth="1" min="9" max="26" width="7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4" t="s">
        <v>9</v>
      </c>
      <c r="B2" s="4" t="s">
        <v>10</v>
      </c>
      <c r="C2" s="6" t="s">
        <v>11</v>
      </c>
      <c r="D2" s="4" t="s">
        <v>13</v>
      </c>
      <c r="E2" s="4" t="s">
        <v>14</v>
      </c>
      <c r="F2" s="9">
        <v>45818.0</v>
      </c>
      <c r="G2" s="11" t="s">
        <v>17</v>
      </c>
      <c r="H2" s="4" t="s">
        <v>21</v>
      </c>
    </row>
    <row r="3">
      <c r="A3" s="4" t="s">
        <v>23</v>
      </c>
      <c r="B3" s="4" t="s">
        <v>25</v>
      </c>
      <c r="C3" s="6" t="s">
        <v>27</v>
      </c>
      <c r="D3" s="4" t="s">
        <v>13</v>
      </c>
      <c r="E3" s="4" t="s">
        <v>31</v>
      </c>
      <c r="F3" s="9">
        <v>45853.0</v>
      </c>
      <c r="G3" s="11" t="s">
        <v>17</v>
      </c>
      <c r="H3" s="4" t="s">
        <v>21</v>
      </c>
    </row>
    <row r="4">
      <c r="A4" s="4" t="s">
        <v>36</v>
      </c>
      <c r="B4" s="4" t="s">
        <v>37</v>
      </c>
      <c r="C4" s="6" t="s">
        <v>38</v>
      </c>
      <c r="D4" s="4" t="s">
        <v>13</v>
      </c>
      <c r="E4" s="4" t="s">
        <v>40</v>
      </c>
      <c r="F4" s="9">
        <v>45870.0</v>
      </c>
      <c r="G4" s="11" t="s">
        <v>17</v>
      </c>
      <c r="H4" s="4" t="s">
        <v>21</v>
      </c>
    </row>
    <row r="5">
      <c r="A5" s="4" t="s">
        <v>41</v>
      </c>
      <c r="B5" s="4" t="s">
        <v>42</v>
      </c>
      <c r="C5" s="6" t="s">
        <v>43</v>
      </c>
      <c r="D5" s="4" t="s">
        <v>44</v>
      </c>
      <c r="E5" s="4" t="s">
        <v>31</v>
      </c>
      <c r="F5" s="9">
        <v>45614.0</v>
      </c>
      <c r="G5" s="11" t="s">
        <v>17</v>
      </c>
      <c r="H5" s="4" t="s">
        <v>21</v>
      </c>
    </row>
    <row r="6">
      <c r="A6" s="4" t="s">
        <v>45</v>
      </c>
      <c r="B6" s="4" t="s">
        <v>46</v>
      </c>
      <c r="C6" s="6" t="s">
        <v>48</v>
      </c>
      <c r="D6" s="4" t="s">
        <v>13</v>
      </c>
      <c r="E6" s="4" t="s">
        <v>31</v>
      </c>
      <c r="F6" s="9">
        <v>45799.0</v>
      </c>
      <c r="G6" s="11" t="s">
        <v>17</v>
      </c>
      <c r="H6" s="4" t="s">
        <v>21</v>
      </c>
    </row>
    <row r="7">
      <c r="A7" s="4" t="s">
        <v>52</v>
      </c>
      <c r="B7" s="4" t="s">
        <v>53</v>
      </c>
      <c r="C7" s="6" t="s">
        <v>55</v>
      </c>
      <c r="D7" s="4" t="s">
        <v>13</v>
      </c>
      <c r="E7" s="4" t="s">
        <v>14</v>
      </c>
      <c r="F7" s="9">
        <v>45902.0</v>
      </c>
      <c r="G7" s="11" t="s">
        <v>17</v>
      </c>
      <c r="H7" s="4" t="s">
        <v>21</v>
      </c>
    </row>
    <row r="8">
      <c r="A8" s="4" t="s">
        <v>63</v>
      </c>
      <c r="B8" s="4" t="s">
        <v>65</v>
      </c>
      <c r="C8" s="6" t="s">
        <v>66</v>
      </c>
      <c r="D8" s="4" t="s">
        <v>13</v>
      </c>
      <c r="E8" s="4" t="s">
        <v>31</v>
      </c>
      <c r="F8" s="9">
        <v>45943.0</v>
      </c>
      <c r="G8" s="11" t="s">
        <v>17</v>
      </c>
      <c r="H8" s="4" t="s">
        <v>21</v>
      </c>
    </row>
    <row r="9">
      <c r="A9" s="4" t="s">
        <v>72</v>
      </c>
      <c r="B9" s="4" t="s">
        <v>73</v>
      </c>
      <c r="C9" s="6" t="s">
        <v>75</v>
      </c>
      <c r="D9" s="4" t="s">
        <v>13</v>
      </c>
      <c r="E9" s="4" t="s">
        <v>40</v>
      </c>
      <c r="F9" s="9">
        <v>45754.0</v>
      </c>
      <c r="G9" s="11" t="s">
        <v>17</v>
      </c>
      <c r="H9" s="4" t="s">
        <v>21</v>
      </c>
    </row>
    <row r="10">
      <c r="A10" s="4" t="s">
        <v>77</v>
      </c>
      <c r="B10" s="4" t="s">
        <v>78</v>
      </c>
      <c r="C10" s="6" t="s">
        <v>80</v>
      </c>
      <c r="D10" s="4" t="s">
        <v>13</v>
      </c>
      <c r="E10" s="4" t="s">
        <v>31</v>
      </c>
      <c r="F10" s="9">
        <v>45832.0</v>
      </c>
      <c r="G10" s="11" t="s">
        <v>17</v>
      </c>
      <c r="H10" s="4" t="s">
        <v>21</v>
      </c>
    </row>
    <row r="11">
      <c r="A11" s="4" t="s">
        <v>83</v>
      </c>
      <c r="B11" s="4" t="s">
        <v>84</v>
      </c>
      <c r="C11" s="6" t="s">
        <v>85</v>
      </c>
      <c r="D11" s="4" t="s">
        <v>13</v>
      </c>
      <c r="E11" s="4" t="s">
        <v>31</v>
      </c>
      <c r="F11" s="9">
        <v>45733.0</v>
      </c>
      <c r="G11" s="11" t="s">
        <v>17</v>
      </c>
      <c r="H11" s="4" t="s">
        <v>21</v>
      </c>
    </row>
    <row r="12">
      <c r="A12" s="4" t="s">
        <v>89</v>
      </c>
      <c r="B12" s="4" t="s">
        <v>91</v>
      </c>
      <c r="C12" s="6" t="s">
        <v>93</v>
      </c>
      <c r="D12" s="4" t="s">
        <v>13</v>
      </c>
      <c r="E12" s="4" t="s">
        <v>14</v>
      </c>
      <c r="F12" s="9">
        <v>45888.0</v>
      </c>
      <c r="G12" s="11" t="s">
        <v>17</v>
      </c>
      <c r="H12" s="4" t="s">
        <v>21</v>
      </c>
    </row>
    <row r="13">
      <c r="A13" s="4" t="s">
        <v>99</v>
      </c>
      <c r="B13" s="4" t="s">
        <v>100</v>
      </c>
      <c r="C13" s="6" t="s">
        <v>102</v>
      </c>
      <c r="D13" s="4" t="s">
        <v>13</v>
      </c>
      <c r="E13" s="4" t="s">
        <v>104</v>
      </c>
      <c r="F13" s="9">
        <v>45841.0</v>
      </c>
      <c r="G13" s="11" t="s">
        <v>17</v>
      </c>
      <c r="H13" s="4" t="s">
        <v>21</v>
      </c>
    </row>
    <row r="14">
      <c r="A14" s="4" t="s">
        <v>108</v>
      </c>
      <c r="B14" s="4" t="s">
        <v>109</v>
      </c>
      <c r="C14" s="6" t="s">
        <v>110</v>
      </c>
      <c r="D14" s="4" t="s">
        <v>13</v>
      </c>
      <c r="E14" s="4" t="s">
        <v>14</v>
      </c>
      <c r="F14" s="9">
        <v>45635.0</v>
      </c>
      <c r="G14" s="11" t="s">
        <v>17</v>
      </c>
      <c r="H14" s="4" t="s">
        <v>21</v>
      </c>
    </row>
    <row r="15">
      <c r="A15" s="4" t="s">
        <v>114</v>
      </c>
      <c r="B15" s="4" t="s">
        <v>115</v>
      </c>
      <c r="C15" s="6" t="s">
        <v>116</v>
      </c>
      <c r="D15" s="4" t="s">
        <v>13</v>
      </c>
      <c r="E15" s="4" t="s">
        <v>31</v>
      </c>
      <c r="F15" s="9">
        <v>45699.0</v>
      </c>
      <c r="G15" s="11" t="s">
        <v>17</v>
      </c>
      <c r="H15" s="4" t="s">
        <v>21</v>
      </c>
    </row>
    <row r="16">
      <c r="A16" s="4" t="s">
        <v>117</v>
      </c>
      <c r="B16" s="4" t="s">
        <v>118</v>
      </c>
      <c r="C16" s="6" t="s">
        <v>119</v>
      </c>
      <c r="D16" s="4" t="s">
        <v>44</v>
      </c>
      <c r="E16" s="4" t="s">
        <v>40</v>
      </c>
      <c r="F16" s="9">
        <v>45586.0</v>
      </c>
      <c r="G16" s="11" t="s">
        <v>120</v>
      </c>
      <c r="H16" s="4" t="s">
        <v>21</v>
      </c>
    </row>
    <row r="17">
      <c r="A17" s="4" t="s">
        <v>122</v>
      </c>
      <c r="B17" s="4" t="s">
        <v>123</v>
      </c>
      <c r="C17" s="6" t="s">
        <v>124</v>
      </c>
      <c r="D17" s="4" t="s">
        <v>13</v>
      </c>
      <c r="E17" s="4" t="s">
        <v>31</v>
      </c>
      <c r="F17" s="9">
        <v>45929.0</v>
      </c>
      <c r="G17" s="11" t="s">
        <v>120</v>
      </c>
      <c r="H17" s="4" t="s">
        <v>21</v>
      </c>
    </row>
    <row r="18">
      <c r="A18" s="4" t="s">
        <v>125</v>
      </c>
      <c r="B18" s="4" t="s">
        <v>126</v>
      </c>
      <c r="C18" s="6" t="s">
        <v>127</v>
      </c>
      <c r="D18" s="4" t="s">
        <v>13</v>
      </c>
      <c r="E18" s="4" t="s">
        <v>31</v>
      </c>
      <c r="F18" s="9">
        <v>45783.0</v>
      </c>
      <c r="G18" s="11" t="s">
        <v>120</v>
      </c>
      <c r="H18" s="4" t="s">
        <v>21</v>
      </c>
    </row>
    <row r="19">
      <c r="A19" s="4" t="s">
        <v>128</v>
      </c>
      <c r="B19" s="4" t="s">
        <v>129</v>
      </c>
      <c r="C19" s="6" t="s">
        <v>130</v>
      </c>
      <c r="D19" s="4" t="s">
        <v>13</v>
      </c>
      <c r="E19" s="4" t="s">
        <v>14</v>
      </c>
      <c r="F19" s="9">
        <v>45973.0</v>
      </c>
      <c r="G19" s="11" t="s">
        <v>120</v>
      </c>
      <c r="H19" s="4" t="s">
        <v>21</v>
      </c>
    </row>
    <row r="20">
      <c r="A20" s="4" t="s">
        <v>131</v>
      </c>
      <c r="B20" s="4" t="s">
        <v>132</v>
      </c>
      <c r="C20" s="6" t="s">
        <v>133</v>
      </c>
      <c r="D20" s="4" t="s">
        <v>13</v>
      </c>
      <c r="E20" s="4" t="s">
        <v>104</v>
      </c>
      <c r="F20" s="9">
        <v>45684.0</v>
      </c>
      <c r="G20" s="11" t="s">
        <v>120</v>
      </c>
      <c r="H20" s="4" t="s">
        <v>21</v>
      </c>
    </row>
    <row r="21">
      <c r="A21" s="4" t="s">
        <v>134</v>
      </c>
      <c r="B21" s="4" t="s">
        <v>135</v>
      </c>
      <c r="C21" s="6" t="s">
        <v>136</v>
      </c>
      <c r="D21" s="4" t="s">
        <v>13</v>
      </c>
      <c r="E21" s="4" t="s">
        <v>40</v>
      </c>
      <c r="F21" s="9">
        <v>45810.0</v>
      </c>
      <c r="G21" s="11" t="s">
        <v>120</v>
      </c>
      <c r="H21" s="4" t="s">
        <v>21</v>
      </c>
    </row>
    <row r="22">
      <c r="A22" s="4" t="s">
        <v>137</v>
      </c>
      <c r="B22" s="4" t="s">
        <v>135</v>
      </c>
      <c r="C22" s="6" t="s">
        <v>138</v>
      </c>
      <c r="D22" s="4" t="s">
        <v>13</v>
      </c>
      <c r="E22" s="4" t="s">
        <v>40</v>
      </c>
      <c r="F22" s="9">
        <v>45811.0</v>
      </c>
      <c r="G22" s="11" t="s">
        <v>120</v>
      </c>
      <c r="H22" s="4" t="s">
        <v>21</v>
      </c>
    </row>
    <row r="23">
      <c r="A23" s="4" t="s">
        <v>139</v>
      </c>
      <c r="B23" s="4" t="s">
        <v>135</v>
      </c>
      <c r="C23" s="6" t="s">
        <v>140</v>
      </c>
      <c r="D23" s="4" t="s">
        <v>13</v>
      </c>
      <c r="E23" s="4" t="s">
        <v>40</v>
      </c>
      <c r="F23" s="9">
        <v>45812.0</v>
      </c>
      <c r="G23" s="11" t="s">
        <v>120</v>
      </c>
      <c r="H23" s="4" t="s">
        <v>21</v>
      </c>
    </row>
    <row r="24">
      <c r="A24" s="4" t="s">
        <v>141</v>
      </c>
      <c r="B24" s="4" t="s">
        <v>135</v>
      </c>
      <c r="C24" s="6" t="s">
        <v>142</v>
      </c>
      <c r="D24" s="4" t="s">
        <v>13</v>
      </c>
      <c r="E24" s="4" t="s">
        <v>40</v>
      </c>
      <c r="F24" s="9">
        <v>45813.0</v>
      </c>
      <c r="G24" s="11" t="s">
        <v>120</v>
      </c>
      <c r="H24" s="4" t="s">
        <v>21</v>
      </c>
    </row>
    <row r="25">
      <c r="A25" s="4" t="s">
        <v>145</v>
      </c>
      <c r="B25" s="4" t="s">
        <v>135</v>
      </c>
      <c r="C25" s="6" t="s">
        <v>146</v>
      </c>
      <c r="D25" s="4" t="s">
        <v>13</v>
      </c>
      <c r="E25" s="4" t="s">
        <v>40</v>
      </c>
      <c r="F25" s="9">
        <v>45814.0</v>
      </c>
      <c r="G25" s="11" t="s">
        <v>120</v>
      </c>
      <c r="H25" s="4" t="s">
        <v>21</v>
      </c>
    </row>
    <row r="26">
      <c r="A26" s="4" t="s">
        <v>147</v>
      </c>
      <c r="B26" s="4" t="s">
        <v>135</v>
      </c>
      <c r="C26" s="6" t="s">
        <v>148</v>
      </c>
      <c r="D26" s="4" t="s">
        <v>44</v>
      </c>
      <c r="E26" s="4" t="s">
        <v>40</v>
      </c>
      <c r="F26" s="9">
        <v>45815.0</v>
      </c>
      <c r="G26" s="11" t="s">
        <v>120</v>
      </c>
      <c r="H26" s="4" t="s">
        <v>21</v>
      </c>
    </row>
    <row r="27">
      <c r="A27" s="4" t="s">
        <v>149</v>
      </c>
      <c r="B27" s="4" t="s">
        <v>135</v>
      </c>
      <c r="C27" s="6" t="s">
        <v>150</v>
      </c>
      <c r="D27" s="4" t="s">
        <v>13</v>
      </c>
      <c r="E27" s="4" t="s">
        <v>40</v>
      </c>
      <c r="F27" s="9">
        <v>45816.0</v>
      </c>
      <c r="G27" s="11" t="s">
        <v>120</v>
      </c>
      <c r="H27" s="4" t="s">
        <v>21</v>
      </c>
    </row>
    <row r="28">
      <c r="A28" s="4" t="s">
        <v>151</v>
      </c>
      <c r="B28" s="4" t="s">
        <v>135</v>
      </c>
      <c r="C28" s="6" t="s">
        <v>152</v>
      </c>
      <c r="D28" s="4" t="s">
        <v>13</v>
      </c>
      <c r="E28" s="4" t="s">
        <v>40</v>
      </c>
      <c r="F28" s="9">
        <v>45817.0</v>
      </c>
      <c r="G28" s="11" t="s">
        <v>120</v>
      </c>
      <c r="H28" s="4" t="s">
        <v>21</v>
      </c>
    </row>
    <row r="29">
      <c r="A29" s="4" t="s">
        <v>153</v>
      </c>
      <c r="B29" s="4" t="s">
        <v>135</v>
      </c>
      <c r="C29" s="6" t="s">
        <v>154</v>
      </c>
      <c r="D29" s="4" t="s">
        <v>13</v>
      </c>
      <c r="E29" s="4" t="s">
        <v>40</v>
      </c>
      <c r="F29" s="9">
        <v>45818.0</v>
      </c>
      <c r="G29" s="11" t="s">
        <v>120</v>
      </c>
      <c r="H29" s="4" t="s">
        <v>21</v>
      </c>
    </row>
    <row r="30">
      <c r="A30" s="4" t="s">
        <v>155</v>
      </c>
      <c r="B30" s="4" t="s">
        <v>135</v>
      </c>
      <c r="C30" s="6" t="s">
        <v>156</v>
      </c>
      <c r="D30" s="4" t="s">
        <v>13</v>
      </c>
      <c r="E30" s="4" t="s">
        <v>40</v>
      </c>
      <c r="F30" s="9">
        <v>45819.0</v>
      </c>
      <c r="G30" s="11" t="s">
        <v>120</v>
      </c>
      <c r="H30" s="4" t="s">
        <v>21</v>
      </c>
    </row>
    <row r="31">
      <c r="A31" s="4" t="s">
        <v>157</v>
      </c>
      <c r="B31" s="4" t="s">
        <v>135</v>
      </c>
      <c r="C31" s="6" t="s">
        <v>158</v>
      </c>
      <c r="D31" s="4" t="s">
        <v>13</v>
      </c>
      <c r="E31" s="4" t="s">
        <v>40</v>
      </c>
      <c r="F31" s="9">
        <v>45820.0</v>
      </c>
      <c r="G31" s="11" t="s">
        <v>120</v>
      </c>
      <c r="H31" s="4" t="s">
        <v>21</v>
      </c>
    </row>
    <row r="32">
      <c r="A32" s="4" t="s">
        <v>159</v>
      </c>
      <c r="B32" s="4" t="s">
        <v>135</v>
      </c>
      <c r="C32" s="6" t="s">
        <v>160</v>
      </c>
      <c r="D32" s="4" t="s">
        <v>13</v>
      </c>
      <c r="E32" s="4" t="s">
        <v>40</v>
      </c>
      <c r="F32" s="9">
        <v>45821.0</v>
      </c>
      <c r="G32" s="11" t="s">
        <v>120</v>
      </c>
      <c r="H32" s="4" t="s">
        <v>21</v>
      </c>
    </row>
    <row r="33">
      <c r="A33" s="4" t="s">
        <v>161</v>
      </c>
      <c r="B33" s="4" t="s">
        <v>135</v>
      </c>
      <c r="C33" s="6" t="s">
        <v>162</v>
      </c>
      <c r="D33" s="4" t="s">
        <v>13</v>
      </c>
      <c r="E33" s="4" t="s">
        <v>40</v>
      </c>
      <c r="F33" s="9">
        <v>45822.0</v>
      </c>
      <c r="G33" s="11" t="s">
        <v>120</v>
      </c>
      <c r="H33" s="4" t="s">
        <v>21</v>
      </c>
    </row>
    <row r="34">
      <c r="A34" s="4" t="s">
        <v>163</v>
      </c>
      <c r="B34" s="4" t="s">
        <v>135</v>
      </c>
      <c r="C34" s="6" t="s">
        <v>164</v>
      </c>
      <c r="D34" s="4" t="s">
        <v>44</v>
      </c>
      <c r="E34" s="4" t="s">
        <v>40</v>
      </c>
      <c r="F34" s="9">
        <v>45823.0</v>
      </c>
      <c r="G34" s="11" t="s">
        <v>120</v>
      </c>
      <c r="H34" s="4" t="s">
        <v>21</v>
      </c>
    </row>
    <row r="35">
      <c r="A35" s="4" t="s">
        <v>165</v>
      </c>
      <c r="B35" s="4" t="s">
        <v>135</v>
      </c>
      <c r="C35" s="6" t="s">
        <v>166</v>
      </c>
      <c r="D35" s="4" t="s">
        <v>13</v>
      </c>
      <c r="E35" s="4" t="s">
        <v>40</v>
      </c>
      <c r="F35" s="9">
        <v>45824.0</v>
      </c>
      <c r="G35" s="11" t="s">
        <v>120</v>
      </c>
      <c r="H35" s="4" t="s">
        <v>21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14.0"/>
    <col customWidth="1" min="3" max="3" width="15.75"/>
    <col customWidth="1" min="4" max="4" width="10.5"/>
    <col customWidth="1" min="5" max="26" width="7.63"/>
  </cols>
  <sheetData>
    <row r="1">
      <c r="A1" s="12" t="s">
        <v>30</v>
      </c>
      <c r="B1" s="12" t="s">
        <v>56</v>
      </c>
      <c r="C1" s="12" t="s">
        <v>59</v>
      </c>
      <c r="D1" s="12" t="s">
        <v>61</v>
      </c>
    </row>
    <row r="2">
      <c r="A2" s="4" t="s">
        <v>69</v>
      </c>
      <c r="B2" s="16">
        <v>0.9</v>
      </c>
      <c r="C2" s="4" t="s">
        <v>90</v>
      </c>
      <c r="D2" s="16">
        <v>0.2</v>
      </c>
    </row>
    <row r="3">
      <c r="A3" s="4" t="s">
        <v>94</v>
      </c>
      <c r="B3" s="16">
        <v>0.9</v>
      </c>
      <c r="C3" s="4" t="s">
        <v>90</v>
      </c>
      <c r="D3" s="16">
        <v>0.3</v>
      </c>
    </row>
    <row r="4">
      <c r="A4" s="4" t="s">
        <v>97</v>
      </c>
      <c r="B4" s="16">
        <v>0.9</v>
      </c>
      <c r="C4" s="4" t="s">
        <v>90</v>
      </c>
      <c r="D4" s="16">
        <v>0.15</v>
      </c>
    </row>
    <row r="5">
      <c r="A5" s="4" t="s">
        <v>101</v>
      </c>
      <c r="B5" s="16">
        <v>0.95</v>
      </c>
      <c r="C5" s="4" t="s">
        <v>90</v>
      </c>
      <c r="D5" s="16">
        <v>0.15</v>
      </c>
    </row>
    <row r="6">
      <c r="A6" s="4" t="s">
        <v>92</v>
      </c>
      <c r="B6" s="17">
        <v>7.0</v>
      </c>
      <c r="C6" s="4" t="s">
        <v>111</v>
      </c>
      <c r="D6" s="16">
        <v>0.1</v>
      </c>
    </row>
    <row r="7">
      <c r="A7" s="4" t="s">
        <v>112</v>
      </c>
      <c r="B7" s="16">
        <v>0.05</v>
      </c>
      <c r="C7" s="4" t="s">
        <v>113</v>
      </c>
      <c r="D7" s="16">
        <v>0.1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3" width="19.25"/>
    <col customWidth="1" min="4" max="4" width="17.5"/>
    <col customWidth="1" min="5" max="5" width="13.13"/>
    <col customWidth="1" min="6" max="6" width="14.88"/>
    <col customWidth="1" min="7" max="7" width="13.13"/>
    <col customWidth="1" min="8" max="8" width="14.0"/>
    <col customWidth="1" min="9" max="9" width="13.13"/>
    <col customWidth="1" min="10" max="10" width="12.25"/>
    <col customWidth="1" min="11" max="13" width="13.13"/>
    <col customWidth="1" min="14" max="14" width="14.0"/>
    <col customWidth="1" min="15" max="15" width="12.25"/>
    <col customWidth="1" min="16" max="16" width="26.25"/>
    <col customWidth="1" min="17" max="17" width="14.0"/>
    <col customWidth="1" min="18" max="18" width="13.13"/>
    <col customWidth="1" min="19" max="19" width="12.25"/>
    <col customWidth="1" min="20" max="21" width="13.13"/>
    <col customWidth="1" min="22" max="24" width="7.63"/>
  </cols>
  <sheetData>
    <row r="1">
      <c r="A1" s="12" t="s">
        <v>33</v>
      </c>
      <c r="B1" s="12" t="s">
        <v>47</v>
      </c>
      <c r="C1" s="12" t="s">
        <v>3</v>
      </c>
      <c r="D1" s="12" t="s">
        <v>50</v>
      </c>
      <c r="E1" s="15" t="s">
        <v>64</v>
      </c>
      <c r="F1" s="12" t="s">
        <v>74</v>
      </c>
      <c r="G1" s="12" t="s">
        <v>76</v>
      </c>
      <c r="H1" s="12" t="s">
        <v>79</v>
      </c>
      <c r="I1" s="12" t="s">
        <v>81</v>
      </c>
      <c r="J1" s="12" t="s">
        <v>82</v>
      </c>
      <c r="K1" s="12" t="s">
        <v>86</v>
      </c>
      <c r="L1" s="12" t="s">
        <v>87</v>
      </c>
      <c r="M1" s="12" t="s">
        <v>88</v>
      </c>
      <c r="N1" s="12" t="s">
        <v>92</v>
      </c>
      <c r="O1" s="12" t="s">
        <v>95</v>
      </c>
      <c r="P1" s="12" t="s">
        <v>96</v>
      </c>
      <c r="Q1" s="12" t="s">
        <v>98</v>
      </c>
      <c r="R1" s="12" t="s">
        <v>103</v>
      </c>
      <c r="S1" s="12" t="s">
        <v>105</v>
      </c>
      <c r="T1" s="12" t="s">
        <v>106</v>
      </c>
      <c r="U1" s="12" t="s">
        <v>107</v>
      </c>
    </row>
    <row r="2">
      <c r="A2" s="18">
        <v>46216.0</v>
      </c>
      <c r="B2" s="19" t="s">
        <v>10</v>
      </c>
      <c r="C2" s="19" t="s">
        <v>14</v>
      </c>
      <c r="D2" s="19" t="s">
        <v>121</v>
      </c>
      <c r="E2" s="14">
        <f t="shared" ref="E2:E601" si="1">RANDBETWEEN(6,16)</f>
        <v>7</v>
      </c>
      <c r="F2" s="19">
        <f t="shared" ref="F2:F601" si="2">RANDBETWEEN(6,15)</f>
        <v>15</v>
      </c>
      <c r="G2" s="20">
        <f t="shared" ref="G2:G601" si="3">F2/E2</f>
        <v>2.142857143</v>
      </c>
      <c r="H2" s="19">
        <v>33.0</v>
      </c>
      <c r="I2" s="19">
        <v>36.0</v>
      </c>
      <c r="J2" s="19">
        <v>1.0</v>
      </c>
      <c r="K2" s="19">
        <v>2.6</v>
      </c>
      <c r="L2" s="19">
        <v>51.0</v>
      </c>
      <c r="M2" s="19">
        <v>55.0</v>
      </c>
      <c r="N2" s="19">
        <v>7.3</v>
      </c>
      <c r="O2" s="19" t="s">
        <v>143</v>
      </c>
      <c r="P2" s="19" t="s">
        <v>144</v>
      </c>
      <c r="Q2" s="20">
        <f t="shared" ref="Q2:Q601" si="4">IFERROR(F2/E2,0)</f>
        <v>2.142857143</v>
      </c>
      <c r="R2" s="20">
        <f t="shared" ref="R2:R601" si="5">IFERROR(H2/I2,0)</f>
        <v>0.9166666667</v>
      </c>
      <c r="S2" s="20">
        <f t="shared" ref="S2:S601" si="6">IFERROR(J2/I2,0)</f>
        <v>0.02777777778</v>
      </c>
      <c r="T2" s="20">
        <f t="shared" ref="T2:T601" si="7">IFERROR(L2/M2,0)</f>
        <v>0.9272727273</v>
      </c>
      <c r="U2" s="20">
        <f>IF(B2="","",MIN(Q2/Targets!$B$2,1)*Targets!$D$2+MIN(G2/100/Targets!$B$3,1)*Targets!$D$3+MIN(T2/Targets!$B$4,1)*Targets!$D$4+MIN(R2/Targets!$B$5,1)*Targets!$D$5+MIN(N2/Targets!$B$6,1)*Targets!$D$6+MIN(Targets!$B$7/MAX(S2,0.0001),1)*Targets!$D$7)</f>
        <v>0.7018796992</v>
      </c>
    </row>
    <row r="3">
      <c r="A3" s="18">
        <v>46216.0</v>
      </c>
      <c r="B3" s="19" t="s">
        <v>25</v>
      </c>
      <c r="C3" s="19" t="s">
        <v>167</v>
      </c>
      <c r="D3" s="19" t="s">
        <v>121</v>
      </c>
      <c r="E3" s="14">
        <f t="shared" si="1"/>
        <v>12</v>
      </c>
      <c r="F3" s="19">
        <f t="shared" si="2"/>
        <v>10</v>
      </c>
      <c r="G3" s="20">
        <f t="shared" si="3"/>
        <v>0.8333333333</v>
      </c>
      <c r="H3" s="19">
        <v>37.0</v>
      </c>
      <c r="I3" s="19">
        <v>39.0</v>
      </c>
      <c r="J3" s="19">
        <v>1.0</v>
      </c>
      <c r="K3" s="19">
        <v>2.8</v>
      </c>
      <c r="L3" s="19">
        <v>51.0</v>
      </c>
      <c r="M3" s="19">
        <v>58.0</v>
      </c>
      <c r="N3" s="19">
        <v>7.6</v>
      </c>
      <c r="O3" s="19" t="s">
        <v>143</v>
      </c>
      <c r="P3" s="19" t="s">
        <v>168</v>
      </c>
      <c r="Q3" s="20">
        <f t="shared" si="4"/>
        <v>0.8333333333</v>
      </c>
      <c r="R3" s="20">
        <f t="shared" si="5"/>
        <v>0.9487179487</v>
      </c>
      <c r="S3" s="20">
        <f t="shared" si="6"/>
        <v>0.02564102564</v>
      </c>
      <c r="T3" s="20">
        <f t="shared" si="7"/>
        <v>0.8793103448</v>
      </c>
      <c r="U3" s="20">
        <f>IF(B3="","",MIN(Q3/Targets!$B$2,1)*Targets!$D$2+MIN(G3/100/Targets!$B$3,1)*Targets!$D$3+MIN(T3/Targets!$B$4,1)*Targets!$D$4+MIN(R3/Targets!$B$5,1)*Targets!$D$5+MIN(N3/Targets!$B$6,1)*Targets!$D$6+MIN(Targets!$B$7/MAX(S3,0.0001),1)*Targets!$D$7)</f>
        <v>0.684312258</v>
      </c>
    </row>
    <row r="4">
      <c r="A4" s="18">
        <v>46216.0</v>
      </c>
      <c r="B4" s="19" t="s">
        <v>37</v>
      </c>
      <c r="C4" s="19" t="s">
        <v>169</v>
      </c>
      <c r="D4" s="19" t="s">
        <v>121</v>
      </c>
      <c r="E4" s="14">
        <f t="shared" si="1"/>
        <v>16</v>
      </c>
      <c r="F4" s="19">
        <f t="shared" si="2"/>
        <v>6</v>
      </c>
      <c r="G4" s="20">
        <f t="shared" si="3"/>
        <v>0.375</v>
      </c>
      <c r="H4" s="19">
        <v>57.0</v>
      </c>
      <c r="I4" s="19">
        <v>58.0</v>
      </c>
      <c r="J4" s="19">
        <v>3.0</v>
      </c>
      <c r="K4" s="19">
        <v>2.3</v>
      </c>
      <c r="L4" s="19">
        <v>52.0</v>
      </c>
      <c r="M4" s="19">
        <v>60.0</v>
      </c>
      <c r="N4" s="19">
        <v>7.7</v>
      </c>
      <c r="O4" s="19" t="s">
        <v>143</v>
      </c>
      <c r="P4" s="19" t="s">
        <v>168</v>
      </c>
      <c r="Q4" s="20">
        <f t="shared" si="4"/>
        <v>0.375</v>
      </c>
      <c r="R4" s="20">
        <f t="shared" si="5"/>
        <v>0.9827586207</v>
      </c>
      <c r="S4" s="20">
        <f t="shared" si="6"/>
        <v>0.05172413793</v>
      </c>
      <c r="T4" s="20">
        <f t="shared" si="7"/>
        <v>0.8666666667</v>
      </c>
      <c r="U4" s="20">
        <f>IF(B4="","",MIN(Q4/Targets!$B$2,1)*Targets!$D$2+MIN(G4/100/Targets!$B$3,1)*Targets!$D$3+MIN(T4/Targets!$B$4,1)*Targets!$D$4+MIN(R4/Targets!$B$5,1)*Targets!$D$5+MIN(N4/Targets!$B$6,1)*Targets!$D$6+MIN(Targets!$B$7/MAX(S4,0.0001),1)*Targets!$D$7)</f>
        <v>0.5756944444</v>
      </c>
    </row>
    <row r="5">
      <c r="A5" s="18">
        <v>46216.0</v>
      </c>
      <c r="B5" s="19" t="s">
        <v>42</v>
      </c>
      <c r="C5" s="19" t="s">
        <v>171</v>
      </c>
      <c r="D5" s="19" t="s">
        <v>121</v>
      </c>
      <c r="E5" s="14">
        <f t="shared" si="1"/>
        <v>14</v>
      </c>
      <c r="F5" s="19">
        <f t="shared" si="2"/>
        <v>12</v>
      </c>
      <c r="G5" s="20">
        <f t="shared" si="3"/>
        <v>0.8571428571</v>
      </c>
      <c r="H5" s="19">
        <v>52.0</v>
      </c>
      <c r="I5" s="19">
        <v>54.0</v>
      </c>
      <c r="J5" s="19">
        <v>3.0</v>
      </c>
      <c r="K5" s="19">
        <v>2.1</v>
      </c>
      <c r="L5" s="19">
        <v>53.0</v>
      </c>
      <c r="M5" s="19">
        <v>56.0</v>
      </c>
      <c r="N5" s="19">
        <v>7.7</v>
      </c>
      <c r="O5" s="19" t="s">
        <v>143</v>
      </c>
      <c r="P5" s="19" t="s">
        <v>178</v>
      </c>
      <c r="Q5" s="20">
        <f t="shared" si="4"/>
        <v>0.8571428571</v>
      </c>
      <c r="R5" s="20">
        <f t="shared" si="5"/>
        <v>0.962962963</v>
      </c>
      <c r="S5" s="20">
        <f t="shared" si="6"/>
        <v>0.05555555556</v>
      </c>
      <c r="T5" s="20">
        <f t="shared" si="7"/>
        <v>0.9464285714</v>
      </c>
      <c r="U5" s="20">
        <f>IF(B5="","",MIN(Q5/Targets!$B$2,1)*Targets!$D$2+MIN(G5/100/Targets!$B$3,1)*Targets!$D$3+MIN(T5/Targets!$B$4,1)*Targets!$D$4+MIN(R5/Targets!$B$5,1)*Targets!$D$5+MIN(N5/Targets!$B$6,1)*Targets!$D$6+MIN(Targets!$B$7/MAX(S5,0.0001),1)*Targets!$D$7)</f>
        <v>0.6833333333</v>
      </c>
    </row>
    <row r="6">
      <c r="A6" s="18">
        <v>46216.0</v>
      </c>
      <c r="B6" s="19" t="s">
        <v>46</v>
      </c>
      <c r="C6" s="19" t="s">
        <v>179</v>
      </c>
      <c r="D6" s="19" t="s">
        <v>121</v>
      </c>
      <c r="E6" s="14">
        <f t="shared" si="1"/>
        <v>13</v>
      </c>
      <c r="F6" s="19">
        <f t="shared" si="2"/>
        <v>15</v>
      </c>
      <c r="G6" s="20">
        <f t="shared" si="3"/>
        <v>1.153846154</v>
      </c>
      <c r="H6" s="19">
        <v>24.0</v>
      </c>
      <c r="I6" s="19">
        <v>30.0</v>
      </c>
      <c r="J6" s="19">
        <v>2.0</v>
      </c>
      <c r="K6" s="19">
        <v>4.1</v>
      </c>
      <c r="L6" s="19">
        <v>37.0</v>
      </c>
      <c r="M6" s="19">
        <v>54.0</v>
      </c>
      <c r="N6" s="19">
        <v>6.7</v>
      </c>
      <c r="O6" s="19" t="s">
        <v>143</v>
      </c>
      <c r="P6" s="19" t="s">
        <v>178</v>
      </c>
      <c r="Q6" s="20">
        <f t="shared" si="4"/>
        <v>1.153846154</v>
      </c>
      <c r="R6" s="20">
        <f t="shared" si="5"/>
        <v>0.8</v>
      </c>
      <c r="S6" s="20">
        <f t="shared" si="6"/>
        <v>0.06666666667</v>
      </c>
      <c r="T6" s="20">
        <f t="shared" si="7"/>
        <v>0.6851851852</v>
      </c>
      <c r="U6" s="20">
        <f>IF(B6="","",MIN(Q6/Targets!$B$2,1)*Targets!$D$2+MIN(G6/100/Targets!$B$3,1)*Targets!$D$3+MIN(T6/Targets!$B$4,1)*Targets!$D$4+MIN(R6/Targets!$B$5,1)*Targets!$D$5+MIN(N6/Targets!$B$6,1)*Targets!$D$6+MIN(Targets!$B$7/MAX(S6,0.0001),1)*Targets!$D$7)</f>
        <v>0.6150737599</v>
      </c>
    </row>
    <row r="7">
      <c r="A7" s="18">
        <v>46216.0</v>
      </c>
      <c r="B7" s="19" t="s">
        <v>53</v>
      </c>
      <c r="C7" s="19" t="s">
        <v>14</v>
      </c>
      <c r="D7" s="19" t="s">
        <v>121</v>
      </c>
      <c r="E7" s="14">
        <f t="shared" si="1"/>
        <v>11</v>
      </c>
      <c r="F7" s="19">
        <f t="shared" si="2"/>
        <v>6</v>
      </c>
      <c r="G7" s="20">
        <f t="shared" si="3"/>
        <v>0.5454545455</v>
      </c>
      <c r="H7" s="19">
        <v>24.0</v>
      </c>
      <c r="I7" s="19">
        <v>30.0</v>
      </c>
      <c r="J7" s="19">
        <v>2.0</v>
      </c>
      <c r="K7" s="19">
        <v>5.3</v>
      </c>
      <c r="L7" s="19">
        <v>34.0</v>
      </c>
      <c r="M7" s="19">
        <v>48.0</v>
      </c>
      <c r="N7" s="19">
        <v>6.6</v>
      </c>
      <c r="O7" s="19" t="s">
        <v>143</v>
      </c>
      <c r="P7" s="19" t="s">
        <v>186</v>
      </c>
      <c r="Q7" s="20">
        <f t="shared" si="4"/>
        <v>0.5454545455</v>
      </c>
      <c r="R7" s="20">
        <f t="shared" si="5"/>
        <v>0.8</v>
      </c>
      <c r="S7" s="20">
        <f t="shared" si="6"/>
        <v>0.06666666667</v>
      </c>
      <c r="T7" s="20">
        <f t="shared" si="7"/>
        <v>0.7083333333</v>
      </c>
      <c r="U7" s="20">
        <f>IF(B7="","",MIN(Q7/Targets!$B$2,1)*Targets!$D$2+MIN(G7/100/Targets!$B$3,1)*Targets!$D$3+MIN(T7/Targets!$B$4,1)*Targets!$D$4+MIN(R7/Targets!$B$5,1)*Targets!$D$5+MIN(N7/Targets!$B$6,1)*Targets!$D$6+MIN(Targets!$B$7/MAX(S7,0.0001),1)*Targets!$D$7)</f>
        <v>0.5366873623</v>
      </c>
    </row>
    <row r="8">
      <c r="A8" s="18">
        <v>46216.0</v>
      </c>
      <c r="B8" s="19" t="s">
        <v>65</v>
      </c>
      <c r="C8" s="19" t="s">
        <v>167</v>
      </c>
      <c r="D8" s="19" t="s">
        <v>121</v>
      </c>
      <c r="E8" s="14">
        <f t="shared" si="1"/>
        <v>8</v>
      </c>
      <c r="F8" s="19">
        <f t="shared" si="2"/>
        <v>15</v>
      </c>
      <c r="G8" s="20">
        <f t="shared" si="3"/>
        <v>1.875</v>
      </c>
      <c r="H8" s="19">
        <v>46.0</v>
      </c>
      <c r="I8" s="19">
        <v>48.0</v>
      </c>
      <c r="J8" s="19">
        <v>4.0</v>
      </c>
      <c r="K8" s="19">
        <v>2.1</v>
      </c>
      <c r="L8" s="19">
        <v>58.0</v>
      </c>
      <c r="M8" s="19">
        <v>68.0</v>
      </c>
      <c r="N8" s="19">
        <v>8.0</v>
      </c>
      <c r="O8" s="19" t="s">
        <v>143</v>
      </c>
      <c r="P8" s="19" t="s">
        <v>187</v>
      </c>
      <c r="Q8" s="20">
        <f t="shared" si="4"/>
        <v>1.875</v>
      </c>
      <c r="R8" s="20">
        <f t="shared" si="5"/>
        <v>0.9583333333</v>
      </c>
      <c r="S8" s="20">
        <f t="shared" si="6"/>
        <v>0.08333333333</v>
      </c>
      <c r="T8" s="20">
        <f t="shared" si="7"/>
        <v>0.8529411765</v>
      </c>
      <c r="U8" s="20">
        <f>IF(B8="","",MIN(Q8/Targets!$B$2,1)*Targets!$D$2+MIN(G8/100/Targets!$B$3,1)*Targets!$D$3+MIN(T8/Targets!$B$4,1)*Targets!$D$4+MIN(R8/Targets!$B$5,1)*Targets!$D$5+MIN(N8/Targets!$B$6,1)*Targets!$D$6+MIN(Targets!$B$7/MAX(S8,0.0001),1)*Targets!$D$7)</f>
        <v>0.6584068627</v>
      </c>
    </row>
    <row r="9">
      <c r="A9" s="18">
        <v>46216.0</v>
      </c>
      <c r="B9" s="19" t="s">
        <v>73</v>
      </c>
      <c r="C9" s="19" t="s">
        <v>169</v>
      </c>
      <c r="D9" s="19" t="s">
        <v>121</v>
      </c>
      <c r="E9" s="14">
        <f t="shared" si="1"/>
        <v>15</v>
      </c>
      <c r="F9" s="19">
        <f t="shared" si="2"/>
        <v>10</v>
      </c>
      <c r="G9" s="20">
        <f t="shared" si="3"/>
        <v>0.6666666667</v>
      </c>
      <c r="H9" s="19">
        <v>31.0</v>
      </c>
      <c r="I9" s="19">
        <v>35.0</v>
      </c>
      <c r="J9" s="19">
        <v>1.0</v>
      </c>
      <c r="K9" s="19">
        <v>3.9</v>
      </c>
      <c r="L9" s="19">
        <v>38.0</v>
      </c>
      <c r="M9" s="19">
        <v>45.0</v>
      </c>
      <c r="N9" s="19">
        <v>6.3</v>
      </c>
      <c r="O9" s="19" t="s">
        <v>143</v>
      </c>
      <c r="P9" s="19" t="s">
        <v>187</v>
      </c>
      <c r="Q9" s="20">
        <f t="shared" si="4"/>
        <v>0.6666666667</v>
      </c>
      <c r="R9" s="20">
        <f t="shared" si="5"/>
        <v>0.8857142857</v>
      </c>
      <c r="S9" s="20">
        <f t="shared" si="6"/>
        <v>0.02857142857</v>
      </c>
      <c r="T9" s="20">
        <f t="shared" si="7"/>
        <v>0.8444444444</v>
      </c>
      <c r="U9" s="20">
        <f>IF(B9="","",MIN(Q9/Targets!$B$2,1)*Targets!$D$2+MIN(G9/100/Targets!$B$3,1)*Targets!$D$3+MIN(T9/Targets!$B$4,1)*Targets!$D$4+MIN(R9/Targets!$B$5,1)*Targets!$D$5+MIN(N9/Targets!$B$6,1)*Targets!$D$6+MIN(Targets!$B$7/MAX(S9,0.0001),1)*Targets!$D$7)</f>
        <v>0.6209607352</v>
      </c>
    </row>
    <row r="10">
      <c r="A10" s="18">
        <v>46216.0</v>
      </c>
      <c r="B10" s="19" t="s">
        <v>78</v>
      </c>
      <c r="C10" s="19" t="s">
        <v>171</v>
      </c>
      <c r="D10" s="19" t="s">
        <v>121</v>
      </c>
      <c r="E10" s="14">
        <f t="shared" si="1"/>
        <v>11</v>
      </c>
      <c r="F10" s="19">
        <f t="shared" si="2"/>
        <v>10</v>
      </c>
      <c r="G10" s="20">
        <f t="shared" si="3"/>
        <v>0.9090909091</v>
      </c>
      <c r="H10" s="19">
        <v>39.0</v>
      </c>
      <c r="I10" s="19">
        <v>41.0</v>
      </c>
      <c r="J10" s="19">
        <v>3.0</v>
      </c>
      <c r="K10" s="19">
        <v>2.5</v>
      </c>
      <c r="L10" s="19">
        <v>38.0</v>
      </c>
      <c r="M10" s="19">
        <v>45.0</v>
      </c>
      <c r="N10" s="19">
        <v>7.2</v>
      </c>
      <c r="O10" s="19" t="s">
        <v>143</v>
      </c>
      <c r="P10" s="19" t="s">
        <v>187</v>
      </c>
      <c r="Q10" s="20">
        <f t="shared" si="4"/>
        <v>0.9090909091</v>
      </c>
      <c r="R10" s="20">
        <f t="shared" si="5"/>
        <v>0.9512195122</v>
      </c>
      <c r="S10" s="20">
        <f t="shared" si="6"/>
        <v>0.07317073171</v>
      </c>
      <c r="T10" s="20">
        <f t="shared" si="7"/>
        <v>0.8444444444</v>
      </c>
      <c r="U10" s="20">
        <f>IF(B10="","",MIN(Q10/Targets!$B$2,1)*Targets!$D$2+MIN(G10/100/Targets!$B$3,1)*Targets!$D$3+MIN(T10/Targets!$B$4,1)*Targets!$D$4+MIN(R10/Targets!$B$5,1)*Targets!$D$5+MIN(N10/Targets!$B$6,1)*Targets!$D$6+MIN(Targets!$B$7/MAX(S10,0.0001),1)*Targets!$D$7)</f>
        <v>0.6621043771</v>
      </c>
    </row>
    <row r="11">
      <c r="A11" s="18">
        <v>46216.0</v>
      </c>
      <c r="B11" s="19" t="s">
        <v>84</v>
      </c>
      <c r="C11" s="19" t="s">
        <v>179</v>
      </c>
      <c r="D11" s="19" t="s">
        <v>121</v>
      </c>
      <c r="E11" s="14">
        <f t="shared" si="1"/>
        <v>11</v>
      </c>
      <c r="F11" s="19">
        <f t="shared" si="2"/>
        <v>7</v>
      </c>
      <c r="G11" s="20">
        <f t="shared" si="3"/>
        <v>0.6363636364</v>
      </c>
      <c r="H11" s="19">
        <v>34.0</v>
      </c>
      <c r="I11" s="19">
        <v>37.0</v>
      </c>
      <c r="J11" s="19">
        <v>3.0</v>
      </c>
      <c r="K11" s="19">
        <v>3.8</v>
      </c>
      <c r="L11" s="19">
        <v>43.0</v>
      </c>
      <c r="M11" s="19">
        <v>46.0</v>
      </c>
      <c r="N11" s="19">
        <v>6.5</v>
      </c>
      <c r="O11" s="19" t="s">
        <v>143</v>
      </c>
      <c r="P11" s="19" t="s">
        <v>144</v>
      </c>
      <c r="Q11" s="20">
        <f t="shared" si="4"/>
        <v>0.6363636364</v>
      </c>
      <c r="R11" s="20">
        <f t="shared" si="5"/>
        <v>0.9189189189</v>
      </c>
      <c r="S11" s="20">
        <f t="shared" si="6"/>
        <v>0.08108108108</v>
      </c>
      <c r="T11" s="20">
        <f t="shared" si="7"/>
        <v>0.9347826087</v>
      </c>
      <c r="U11" s="20">
        <f>IF(B11="","",MIN(Q11/Targets!$B$2,1)*Targets!$D$2+MIN(G11/100/Targets!$B$3,1)*Targets!$D$3+MIN(T11/Targets!$B$4,1)*Targets!$D$4+MIN(R11/Targets!$B$5,1)*Targets!$D$5+MIN(N11/Targets!$B$6,1)*Targets!$D$6+MIN(Targets!$B$7/MAX(S11,0.0001),1)*Targets!$D$7)</f>
        <v>0.5931516239</v>
      </c>
    </row>
    <row r="12">
      <c r="A12" s="18">
        <v>46216.0</v>
      </c>
      <c r="B12" s="19" t="s">
        <v>91</v>
      </c>
      <c r="C12" s="19" t="s">
        <v>188</v>
      </c>
      <c r="D12" s="19" t="s">
        <v>121</v>
      </c>
      <c r="E12" s="14">
        <f t="shared" si="1"/>
        <v>16</v>
      </c>
      <c r="F12" s="19">
        <f t="shared" si="2"/>
        <v>12</v>
      </c>
      <c r="G12" s="20">
        <f t="shared" si="3"/>
        <v>0.75</v>
      </c>
      <c r="H12" s="19">
        <v>31.0</v>
      </c>
      <c r="I12" s="19">
        <v>35.0</v>
      </c>
      <c r="J12" s="19">
        <v>1.0</v>
      </c>
      <c r="K12" s="19">
        <v>2.9</v>
      </c>
      <c r="L12" s="19">
        <v>46.0</v>
      </c>
      <c r="M12" s="19">
        <v>53.0</v>
      </c>
      <c r="N12" s="19">
        <v>6.5</v>
      </c>
      <c r="O12" s="19" t="s">
        <v>143</v>
      </c>
      <c r="P12" s="19" t="s">
        <v>189</v>
      </c>
      <c r="Q12" s="20">
        <f t="shared" si="4"/>
        <v>0.75</v>
      </c>
      <c r="R12" s="20">
        <f t="shared" si="5"/>
        <v>0.8857142857</v>
      </c>
      <c r="S12" s="20">
        <f t="shared" si="6"/>
        <v>0.02857142857</v>
      </c>
      <c r="T12" s="20">
        <f t="shared" si="7"/>
        <v>0.8679245283</v>
      </c>
      <c r="U12" s="20">
        <f>IF(B12="","",MIN(Q12/Targets!$B$2,1)*Targets!$D$2+MIN(G12/100/Targets!$B$3,1)*Targets!$D$3+MIN(T12/Targets!$B$4,1)*Targets!$D$4+MIN(R12/Targets!$B$5,1)*Targets!$D$5+MIN(N12/Targets!$B$6,1)*Targets!$D$6+MIN(Targets!$B$7/MAX(S12,0.0001),1)*Targets!$D$7)</f>
        <v>0.6465275216</v>
      </c>
    </row>
    <row r="13">
      <c r="A13" s="18">
        <v>46216.0</v>
      </c>
      <c r="B13" s="19" t="s">
        <v>100</v>
      </c>
      <c r="C13" s="19" t="s">
        <v>190</v>
      </c>
      <c r="D13" s="19" t="s">
        <v>121</v>
      </c>
      <c r="E13" s="14">
        <f t="shared" si="1"/>
        <v>16</v>
      </c>
      <c r="F13" s="19">
        <f t="shared" si="2"/>
        <v>13</v>
      </c>
      <c r="G13" s="20">
        <f t="shared" si="3"/>
        <v>0.8125</v>
      </c>
      <c r="H13" s="19">
        <v>49.0</v>
      </c>
      <c r="I13" s="19">
        <v>51.0</v>
      </c>
      <c r="J13" s="19">
        <v>1.0</v>
      </c>
      <c r="K13" s="19">
        <v>2.9</v>
      </c>
      <c r="L13" s="19">
        <v>50.0</v>
      </c>
      <c r="M13" s="19">
        <v>55.0</v>
      </c>
      <c r="N13" s="19">
        <v>7.4</v>
      </c>
      <c r="O13" s="19" t="s">
        <v>143</v>
      </c>
      <c r="P13" s="19" t="s">
        <v>191</v>
      </c>
      <c r="Q13" s="20">
        <f t="shared" si="4"/>
        <v>0.8125</v>
      </c>
      <c r="R13" s="20">
        <f t="shared" si="5"/>
        <v>0.9607843137</v>
      </c>
      <c r="S13" s="20">
        <f t="shared" si="6"/>
        <v>0.01960784314</v>
      </c>
      <c r="T13" s="20">
        <f t="shared" si="7"/>
        <v>0.9090909091</v>
      </c>
      <c r="U13" s="20">
        <f>IF(B13="","",MIN(Q13/Targets!$B$2,1)*Targets!$D$2+MIN(G13/100/Targets!$B$3,1)*Targets!$D$3+MIN(T13/Targets!$B$4,1)*Targets!$D$4+MIN(R13/Targets!$B$5,1)*Targets!$D$5+MIN(N13/Targets!$B$6,1)*Targets!$D$6+MIN(Targets!$B$7/MAX(S13,0.0001),1)*Targets!$D$7)</f>
        <v>0.6832638889</v>
      </c>
    </row>
    <row r="14">
      <c r="A14" s="18">
        <v>46216.0</v>
      </c>
      <c r="B14" s="19" t="s">
        <v>109</v>
      </c>
      <c r="C14" s="19" t="s">
        <v>14</v>
      </c>
      <c r="D14" s="19" t="s">
        <v>121</v>
      </c>
      <c r="E14" s="14">
        <f t="shared" si="1"/>
        <v>15</v>
      </c>
      <c r="F14" s="19">
        <f t="shared" si="2"/>
        <v>15</v>
      </c>
      <c r="G14" s="20">
        <f t="shared" si="3"/>
        <v>1</v>
      </c>
      <c r="H14" s="19">
        <v>19.0</v>
      </c>
      <c r="I14" s="19">
        <v>22.0</v>
      </c>
      <c r="J14" s="19">
        <v>1.0</v>
      </c>
      <c r="K14" s="19">
        <v>5.0</v>
      </c>
      <c r="L14" s="19">
        <v>29.0</v>
      </c>
      <c r="M14" s="19">
        <v>36.0</v>
      </c>
      <c r="N14" s="19">
        <v>5.2</v>
      </c>
      <c r="O14" s="19" t="s">
        <v>143</v>
      </c>
      <c r="P14" s="19" t="s">
        <v>178</v>
      </c>
      <c r="Q14" s="20">
        <f t="shared" si="4"/>
        <v>1</v>
      </c>
      <c r="R14" s="20">
        <f t="shared" si="5"/>
        <v>0.8636363636</v>
      </c>
      <c r="S14" s="20">
        <f t="shared" si="6"/>
        <v>0.04545454545</v>
      </c>
      <c r="T14" s="20">
        <f t="shared" si="7"/>
        <v>0.8055555556</v>
      </c>
      <c r="U14" s="20">
        <f>IF(B14="","",MIN(Q14/Targets!$B$2,1)*Targets!$D$2+MIN(G14/100/Targets!$B$3,1)*Targets!$D$3+MIN(T14/Targets!$B$4,1)*Targets!$D$4+MIN(R14/Targets!$B$5,1)*Targets!$D$5+MIN(N14/Targets!$B$6,1)*Targets!$D$6+MIN(Targets!$B$7/MAX(S14,0.0001),1)*Targets!$D$7)</f>
        <v>0.6482419432</v>
      </c>
    </row>
    <row r="15">
      <c r="A15" s="18">
        <v>46216.0</v>
      </c>
      <c r="B15" s="19" t="s">
        <v>115</v>
      </c>
      <c r="C15" s="19" t="s">
        <v>167</v>
      </c>
      <c r="D15" s="19" t="s">
        <v>121</v>
      </c>
      <c r="E15" s="14">
        <f t="shared" si="1"/>
        <v>10</v>
      </c>
      <c r="F15" s="19">
        <f t="shared" si="2"/>
        <v>7</v>
      </c>
      <c r="G15" s="20">
        <f t="shared" si="3"/>
        <v>0.7</v>
      </c>
      <c r="H15" s="19">
        <v>26.0</v>
      </c>
      <c r="I15" s="19">
        <v>27.0</v>
      </c>
      <c r="J15" s="19">
        <v>1.0</v>
      </c>
      <c r="K15" s="19">
        <v>4.4</v>
      </c>
      <c r="L15" s="19">
        <v>36.0</v>
      </c>
      <c r="M15" s="19">
        <v>43.0</v>
      </c>
      <c r="N15" s="19">
        <v>7.7</v>
      </c>
      <c r="O15" s="19" t="s">
        <v>143</v>
      </c>
      <c r="P15" s="19" t="s">
        <v>191</v>
      </c>
      <c r="Q15" s="20">
        <f t="shared" si="4"/>
        <v>0.7</v>
      </c>
      <c r="R15" s="20">
        <f t="shared" si="5"/>
        <v>0.962962963</v>
      </c>
      <c r="S15" s="20">
        <f t="shared" si="6"/>
        <v>0.03703703704</v>
      </c>
      <c r="T15" s="20">
        <f t="shared" si="7"/>
        <v>0.8372093023</v>
      </c>
      <c r="U15" s="20">
        <f>IF(B15="","",MIN(Q15/Targets!$B$2,1)*Targets!$D$2+MIN(G15/100/Targets!$B$3,1)*Targets!$D$3+MIN(T15/Targets!$B$4,1)*Targets!$D$4+MIN(R15/Targets!$B$5,1)*Targets!$D$5+MIN(N15/Targets!$B$6,1)*Targets!$D$6+MIN(Targets!$B$7/MAX(S15,0.0001),1)*Targets!$D$7)</f>
        <v>0.6474237726</v>
      </c>
    </row>
    <row r="16">
      <c r="A16" s="18">
        <v>46216.0</v>
      </c>
      <c r="B16" s="19" t="s">
        <v>118</v>
      </c>
      <c r="C16" s="19" t="s">
        <v>169</v>
      </c>
      <c r="D16" s="19" t="s">
        <v>121</v>
      </c>
      <c r="E16" s="14">
        <f t="shared" si="1"/>
        <v>6</v>
      </c>
      <c r="F16" s="19">
        <f t="shared" si="2"/>
        <v>12</v>
      </c>
      <c r="G16" s="20">
        <f t="shared" si="3"/>
        <v>2</v>
      </c>
      <c r="H16" s="19">
        <v>33.0</v>
      </c>
      <c r="I16" s="19">
        <v>36.0</v>
      </c>
      <c r="J16" s="19">
        <v>1.0</v>
      </c>
      <c r="K16" s="19">
        <v>4.1</v>
      </c>
      <c r="L16" s="19">
        <v>47.0</v>
      </c>
      <c r="M16" s="19">
        <v>57.0</v>
      </c>
      <c r="N16" s="19">
        <v>7.5</v>
      </c>
      <c r="O16" s="19" t="s">
        <v>143</v>
      </c>
      <c r="P16" s="19" t="s">
        <v>168</v>
      </c>
      <c r="Q16" s="20">
        <f t="shared" si="4"/>
        <v>2</v>
      </c>
      <c r="R16" s="20">
        <f t="shared" si="5"/>
        <v>0.9166666667</v>
      </c>
      <c r="S16" s="20">
        <f t="shared" si="6"/>
        <v>0.02777777778</v>
      </c>
      <c r="T16" s="20">
        <f t="shared" si="7"/>
        <v>0.8245614035</v>
      </c>
      <c r="U16" s="20">
        <f>IF(B16="","",MIN(Q16/Targets!$B$2,1)*Targets!$D$2+MIN(G16/100/Targets!$B$3,1)*Targets!$D$3+MIN(T16/Targets!$B$4,1)*Targets!$D$4+MIN(R16/Targets!$B$5,1)*Targets!$D$5+MIN(N16/Targets!$B$6,1)*Targets!$D$6+MIN(Targets!$B$7/MAX(S16,0.0001),1)*Targets!$D$7)</f>
        <v>0.6888304094</v>
      </c>
    </row>
    <row r="17">
      <c r="A17" s="18">
        <v>46216.0</v>
      </c>
      <c r="B17" s="19" t="s">
        <v>123</v>
      </c>
      <c r="C17" s="19" t="s">
        <v>171</v>
      </c>
      <c r="D17" s="19" t="s">
        <v>121</v>
      </c>
      <c r="E17" s="14">
        <f t="shared" si="1"/>
        <v>12</v>
      </c>
      <c r="F17" s="19">
        <f t="shared" si="2"/>
        <v>13</v>
      </c>
      <c r="G17" s="20">
        <f t="shared" si="3"/>
        <v>1.083333333</v>
      </c>
      <c r="H17" s="19">
        <v>34.0</v>
      </c>
      <c r="I17" s="19">
        <v>37.0</v>
      </c>
      <c r="J17" s="19">
        <v>3.0</v>
      </c>
      <c r="K17" s="19">
        <v>2.9</v>
      </c>
      <c r="L17" s="19">
        <v>26.0</v>
      </c>
      <c r="M17" s="19">
        <v>30.0</v>
      </c>
      <c r="N17" s="19">
        <v>3.5</v>
      </c>
      <c r="O17" s="19" t="s">
        <v>200</v>
      </c>
      <c r="P17" s="19" t="s">
        <v>187</v>
      </c>
      <c r="Q17" s="20">
        <f t="shared" si="4"/>
        <v>1.083333333</v>
      </c>
      <c r="R17" s="20">
        <f t="shared" si="5"/>
        <v>0.9189189189</v>
      </c>
      <c r="S17" s="20">
        <f t="shared" si="6"/>
        <v>0.08108108108</v>
      </c>
      <c r="T17" s="20">
        <f t="shared" si="7"/>
        <v>0.8666666667</v>
      </c>
      <c r="U17" s="20">
        <f>IF(B17="","",MIN(Q17/Targets!$B$2,1)*Targets!$D$2+MIN(G17/100/Targets!$B$3,1)*Targets!$D$3+MIN(T17/Targets!$B$4,1)*Targets!$D$4+MIN(R17/Targets!$B$5,1)*Targets!$D$5+MIN(N17/Targets!$B$6,1)*Targets!$D$6+MIN(Targets!$B$7/MAX(S17,0.0001),1)*Targets!$D$7)</f>
        <v>0.6048146831</v>
      </c>
    </row>
    <row r="18">
      <c r="A18" s="18">
        <v>46216.0</v>
      </c>
      <c r="B18" s="19" t="s">
        <v>126</v>
      </c>
      <c r="C18" s="19" t="s">
        <v>179</v>
      </c>
      <c r="D18" s="19" t="s">
        <v>121</v>
      </c>
      <c r="E18" s="14">
        <f t="shared" si="1"/>
        <v>14</v>
      </c>
      <c r="F18" s="19">
        <f t="shared" si="2"/>
        <v>10</v>
      </c>
      <c r="G18" s="20">
        <f t="shared" si="3"/>
        <v>0.7142857143</v>
      </c>
      <c r="H18" s="19">
        <v>46.0</v>
      </c>
      <c r="I18" s="19">
        <v>49.0</v>
      </c>
      <c r="J18" s="19">
        <v>2.0</v>
      </c>
      <c r="K18" s="19">
        <v>3.9</v>
      </c>
      <c r="L18" s="19">
        <v>53.0</v>
      </c>
      <c r="M18" s="19">
        <v>62.0</v>
      </c>
      <c r="N18" s="19">
        <v>6.6</v>
      </c>
      <c r="O18" s="19" t="s">
        <v>143</v>
      </c>
      <c r="P18" s="19" t="s">
        <v>191</v>
      </c>
      <c r="Q18" s="20">
        <f t="shared" si="4"/>
        <v>0.7142857143</v>
      </c>
      <c r="R18" s="20">
        <f t="shared" si="5"/>
        <v>0.9387755102</v>
      </c>
      <c r="S18" s="20">
        <f t="shared" si="6"/>
        <v>0.04081632653</v>
      </c>
      <c r="T18" s="20">
        <f t="shared" si="7"/>
        <v>0.8548387097</v>
      </c>
      <c r="U18" s="20">
        <f>IF(B18="","",MIN(Q18/Targets!$B$2,1)*Targets!$D$2+MIN(G18/100/Targets!$B$3,1)*Targets!$D$3+MIN(T18/Targets!$B$4,1)*Targets!$D$4+MIN(R18/Targets!$B$5,1)*Targets!$D$5+MIN(N18/Targets!$B$6,1)*Targets!$D$6+MIN(Targets!$B$7/MAX(S18,0.0001),1)*Targets!$D$7)</f>
        <v>0.6460976558</v>
      </c>
    </row>
    <row r="19">
      <c r="A19" s="18">
        <v>46216.0</v>
      </c>
      <c r="B19" s="19" t="s">
        <v>129</v>
      </c>
      <c r="C19" s="19" t="s">
        <v>188</v>
      </c>
      <c r="D19" s="19" t="s">
        <v>121</v>
      </c>
      <c r="E19" s="14">
        <f t="shared" si="1"/>
        <v>7</v>
      </c>
      <c r="F19" s="19">
        <f t="shared" si="2"/>
        <v>15</v>
      </c>
      <c r="G19" s="20">
        <f t="shared" si="3"/>
        <v>2.142857143</v>
      </c>
      <c r="H19" s="19">
        <v>36.0</v>
      </c>
      <c r="I19" s="19">
        <v>38.0</v>
      </c>
      <c r="J19" s="19">
        <v>2.0</v>
      </c>
      <c r="K19" s="19">
        <v>2.0</v>
      </c>
      <c r="L19" s="19">
        <v>47.0</v>
      </c>
      <c r="M19" s="19">
        <v>48.0</v>
      </c>
      <c r="N19" s="19">
        <v>7.4</v>
      </c>
      <c r="O19" s="19" t="s">
        <v>143</v>
      </c>
      <c r="P19" s="19" t="s">
        <v>186</v>
      </c>
      <c r="Q19" s="20">
        <f t="shared" si="4"/>
        <v>2.142857143</v>
      </c>
      <c r="R19" s="20">
        <f t="shared" si="5"/>
        <v>0.9473684211</v>
      </c>
      <c r="S19" s="20">
        <f t="shared" si="6"/>
        <v>0.05263157895</v>
      </c>
      <c r="T19" s="20">
        <f t="shared" si="7"/>
        <v>0.9791666667</v>
      </c>
      <c r="U19" s="20">
        <f>IF(B19="","",MIN(Q19/Targets!$B$2,1)*Targets!$D$2+MIN(G19/100/Targets!$B$3,1)*Targets!$D$3+MIN(T19/Targets!$B$4,1)*Targets!$D$4+MIN(R19/Targets!$B$5,1)*Targets!$D$5+MIN(N19/Targets!$B$6,1)*Targets!$D$6+MIN(Targets!$B$7/MAX(S19,0.0001),1)*Targets!$D$7)</f>
        <v>0.7017273447</v>
      </c>
    </row>
    <row r="20">
      <c r="A20" s="18">
        <v>46216.0</v>
      </c>
      <c r="B20" s="19" t="s">
        <v>132</v>
      </c>
      <c r="C20" s="19" t="s">
        <v>190</v>
      </c>
      <c r="D20" s="19" t="s">
        <v>121</v>
      </c>
      <c r="E20" s="14">
        <f t="shared" si="1"/>
        <v>7</v>
      </c>
      <c r="F20" s="19">
        <f t="shared" si="2"/>
        <v>15</v>
      </c>
      <c r="G20" s="20">
        <f t="shared" si="3"/>
        <v>2.142857143</v>
      </c>
      <c r="H20" s="19">
        <v>24.0</v>
      </c>
      <c r="I20" s="19">
        <v>30.0</v>
      </c>
      <c r="J20" s="19">
        <v>1.0</v>
      </c>
      <c r="K20" s="19">
        <v>4.3</v>
      </c>
      <c r="L20" s="19">
        <v>19.0</v>
      </c>
      <c r="M20" s="19">
        <v>22.0</v>
      </c>
      <c r="N20" s="19">
        <v>2.9</v>
      </c>
      <c r="O20" s="19" t="s">
        <v>200</v>
      </c>
      <c r="P20" s="19" t="s">
        <v>191</v>
      </c>
      <c r="Q20" s="20">
        <f t="shared" si="4"/>
        <v>2.142857143</v>
      </c>
      <c r="R20" s="20">
        <f t="shared" si="5"/>
        <v>0.8</v>
      </c>
      <c r="S20" s="20">
        <f t="shared" si="6"/>
        <v>0.03333333333</v>
      </c>
      <c r="T20" s="20">
        <f t="shared" si="7"/>
        <v>0.8636363636</v>
      </c>
      <c r="U20" s="20">
        <f>IF(B20="","",MIN(Q20/Targets!$B$2,1)*Targets!$D$2+MIN(G20/100/Targets!$B$3,1)*Targets!$D$3+MIN(T20/Targets!$B$4,1)*Targets!$D$4+MIN(R20/Targets!$B$5,1)*Targets!$D$5+MIN(N20/Targets!$B$6,1)*Targets!$D$6+MIN(Targets!$B$7/MAX(S20,0.0001),1)*Targets!$D$7)</f>
        <v>0.618826612</v>
      </c>
    </row>
    <row r="21">
      <c r="A21" s="18">
        <v>46216.0</v>
      </c>
      <c r="B21" s="19" t="s">
        <v>135</v>
      </c>
      <c r="C21" s="19" t="s">
        <v>169</v>
      </c>
      <c r="D21" s="19" t="s">
        <v>121</v>
      </c>
      <c r="E21" s="14">
        <f t="shared" si="1"/>
        <v>9</v>
      </c>
      <c r="F21" s="19">
        <f t="shared" si="2"/>
        <v>9</v>
      </c>
      <c r="G21" s="20">
        <f t="shared" si="3"/>
        <v>1</v>
      </c>
      <c r="H21" s="19">
        <v>35.0</v>
      </c>
      <c r="I21" s="19">
        <v>36.0</v>
      </c>
      <c r="J21" s="19">
        <v>2.0</v>
      </c>
      <c r="K21" s="19">
        <v>2.0</v>
      </c>
      <c r="L21" s="19">
        <v>42.0</v>
      </c>
      <c r="M21" s="19">
        <v>49.0</v>
      </c>
      <c r="N21" s="19">
        <v>7.3</v>
      </c>
      <c r="O21" s="19" t="s">
        <v>143</v>
      </c>
      <c r="P21" s="19" t="s">
        <v>144</v>
      </c>
      <c r="Q21" s="20">
        <f t="shared" si="4"/>
        <v>1</v>
      </c>
      <c r="R21" s="20">
        <f t="shared" si="5"/>
        <v>0.9722222222</v>
      </c>
      <c r="S21" s="20">
        <f t="shared" si="6"/>
        <v>0.05555555556</v>
      </c>
      <c r="T21" s="20">
        <f t="shared" si="7"/>
        <v>0.8571428571</v>
      </c>
      <c r="U21" s="20">
        <f>IF(B21="","",MIN(Q21/Targets!$B$2,1)*Targets!$D$2+MIN(G21/100/Targets!$B$3,1)*Targets!$D$3+MIN(T21/Targets!$B$4,1)*Targets!$D$4+MIN(R21/Targets!$B$5,1)*Targets!$D$5+MIN(N21/Targets!$B$6,1)*Targets!$D$6+MIN(Targets!$B$7/MAX(S21,0.0001),1)*Targets!$D$7)</f>
        <v>0.6861904762</v>
      </c>
    </row>
    <row r="22">
      <c r="A22" s="18">
        <v>46217.0</v>
      </c>
      <c r="B22" s="19" t="s">
        <v>10</v>
      </c>
      <c r="C22" s="19" t="s">
        <v>14</v>
      </c>
      <c r="D22" s="19" t="s">
        <v>121</v>
      </c>
      <c r="E22" s="14">
        <f t="shared" si="1"/>
        <v>10</v>
      </c>
      <c r="F22" s="19">
        <f t="shared" si="2"/>
        <v>13</v>
      </c>
      <c r="G22" s="20">
        <f t="shared" si="3"/>
        <v>1.3</v>
      </c>
      <c r="H22" s="19">
        <v>34.0</v>
      </c>
      <c r="I22" s="19">
        <v>38.0</v>
      </c>
      <c r="J22" s="19">
        <v>2.0</v>
      </c>
      <c r="K22" s="19">
        <v>3.2</v>
      </c>
      <c r="L22" s="19">
        <v>54.0</v>
      </c>
      <c r="M22" s="19">
        <v>61.0</v>
      </c>
      <c r="N22" s="19">
        <v>6.4</v>
      </c>
      <c r="O22" s="19" t="s">
        <v>143</v>
      </c>
      <c r="P22" s="19" t="s">
        <v>187</v>
      </c>
      <c r="Q22" s="20">
        <f t="shared" si="4"/>
        <v>1.3</v>
      </c>
      <c r="R22" s="20">
        <f t="shared" si="5"/>
        <v>0.8947368421</v>
      </c>
      <c r="S22" s="20">
        <f t="shared" si="6"/>
        <v>0.05263157895</v>
      </c>
      <c r="T22" s="20">
        <f t="shared" si="7"/>
        <v>0.8852459016</v>
      </c>
      <c r="U22" s="20">
        <f>IF(B22="","",MIN(Q22/Targets!$B$2,1)*Targets!$D$2+MIN(G22/100/Targets!$B$3,1)*Targets!$D$3+MIN(T22/Targets!$B$4,1)*Targets!$D$4+MIN(R22/Targets!$B$5,1)*Targets!$D$5+MIN(N22/Targets!$B$6,1)*Targets!$D$6+MIN(Targets!$B$7/MAX(S22,0.0001),1)*Targets!$D$7)</f>
        <v>0.6795771266</v>
      </c>
    </row>
    <row r="23">
      <c r="A23" s="18">
        <v>46217.0</v>
      </c>
      <c r="B23" s="19" t="s">
        <v>25</v>
      </c>
      <c r="C23" s="19" t="s">
        <v>167</v>
      </c>
      <c r="D23" s="19" t="s">
        <v>121</v>
      </c>
      <c r="E23" s="14">
        <f t="shared" si="1"/>
        <v>6</v>
      </c>
      <c r="F23" s="19">
        <f t="shared" si="2"/>
        <v>9</v>
      </c>
      <c r="G23" s="20">
        <f t="shared" si="3"/>
        <v>1.5</v>
      </c>
      <c r="H23" s="19">
        <v>21.0</v>
      </c>
      <c r="I23" s="19">
        <v>26.0</v>
      </c>
      <c r="J23" s="19">
        <v>2.0</v>
      </c>
      <c r="K23" s="19">
        <v>6.0</v>
      </c>
      <c r="L23" s="19">
        <v>34.0</v>
      </c>
      <c r="M23" s="19">
        <v>39.0</v>
      </c>
      <c r="N23" s="19">
        <v>5.4</v>
      </c>
      <c r="O23" s="19" t="s">
        <v>143</v>
      </c>
      <c r="P23" s="19" t="s">
        <v>144</v>
      </c>
      <c r="Q23" s="20">
        <f t="shared" si="4"/>
        <v>1.5</v>
      </c>
      <c r="R23" s="20">
        <f t="shared" si="5"/>
        <v>0.8076923077</v>
      </c>
      <c r="S23" s="20">
        <f t="shared" si="6"/>
        <v>0.07692307692</v>
      </c>
      <c r="T23" s="20">
        <f t="shared" si="7"/>
        <v>0.8717948718</v>
      </c>
      <c r="U23" s="20">
        <f>IF(B23="","",MIN(Q23/Targets!$B$2,1)*Targets!$D$2+MIN(G23/100/Targets!$B$3,1)*Targets!$D$3+MIN(T23/Targets!$B$4,1)*Targets!$D$4+MIN(R23/Targets!$B$5,1)*Targets!$D$5+MIN(N23/Targets!$B$6,1)*Targets!$D$6+MIN(Targets!$B$7/MAX(S23,0.0001),1)*Targets!$D$7)</f>
        <v>0.6199723668</v>
      </c>
    </row>
    <row r="24">
      <c r="A24" s="18">
        <v>46217.0</v>
      </c>
      <c r="B24" s="19" t="s">
        <v>37</v>
      </c>
      <c r="C24" s="19" t="s">
        <v>169</v>
      </c>
      <c r="D24" s="19" t="s">
        <v>121</v>
      </c>
      <c r="E24" s="14">
        <f t="shared" si="1"/>
        <v>14</v>
      </c>
      <c r="F24" s="19">
        <f t="shared" si="2"/>
        <v>15</v>
      </c>
      <c r="G24" s="20">
        <f t="shared" si="3"/>
        <v>1.071428571</v>
      </c>
      <c r="H24" s="19">
        <v>20.0</v>
      </c>
      <c r="I24" s="19">
        <v>26.0</v>
      </c>
      <c r="J24" s="19">
        <v>1.0</v>
      </c>
      <c r="K24" s="19">
        <v>4.5</v>
      </c>
      <c r="L24" s="19">
        <v>28.0</v>
      </c>
      <c r="M24" s="19">
        <v>40.0</v>
      </c>
      <c r="N24" s="19">
        <v>6.0</v>
      </c>
      <c r="O24" s="19" t="s">
        <v>143</v>
      </c>
      <c r="P24" s="19" t="s">
        <v>168</v>
      </c>
      <c r="Q24" s="20">
        <f t="shared" si="4"/>
        <v>1.071428571</v>
      </c>
      <c r="R24" s="20">
        <f t="shared" si="5"/>
        <v>0.7692307692</v>
      </c>
      <c r="S24" s="20">
        <f t="shared" si="6"/>
        <v>0.03846153846</v>
      </c>
      <c r="T24" s="20">
        <f t="shared" si="7"/>
        <v>0.7</v>
      </c>
      <c r="U24" s="20">
        <f>IF(B24="","",MIN(Q24/Targets!$B$2,1)*Targets!$D$2+MIN(G24/100/Targets!$B$3,1)*Targets!$D$3+MIN(T24/Targets!$B$4,1)*Targets!$D$4+MIN(R24/Targets!$B$5,1)*Targets!$D$5+MIN(N24/Targets!$B$6,1)*Targets!$D$6+MIN(Targets!$B$7/MAX(S24,0.0001),1)*Targets!$D$7)</f>
        <v>0.6274098708</v>
      </c>
    </row>
    <row r="25">
      <c r="A25" s="18">
        <v>46217.0</v>
      </c>
      <c r="B25" s="19" t="s">
        <v>42</v>
      </c>
      <c r="C25" s="19" t="s">
        <v>171</v>
      </c>
      <c r="D25" s="19" t="s">
        <v>121</v>
      </c>
      <c r="E25" s="14">
        <f t="shared" si="1"/>
        <v>6</v>
      </c>
      <c r="F25" s="19">
        <f t="shared" si="2"/>
        <v>8</v>
      </c>
      <c r="G25" s="20">
        <f t="shared" si="3"/>
        <v>1.333333333</v>
      </c>
      <c r="H25" s="19">
        <v>42.0</v>
      </c>
      <c r="I25" s="19">
        <v>48.0</v>
      </c>
      <c r="J25" s="19">
        <v>4.0</v>
      </c>
      <c r="K25" s="19">
        <v>3.6</v>
      </c>
      <c r="L25" s="19">
        <v>43.0</v>
      </c>
      <c r="M25" s="19">
        <v>50.0</v>
      </c>
      <c r="N25" s="19">
        <v>8.0</v>
      </c>
      <c r="O25" s="19" t="s">
        <v>143</v>
      </c>
      <c r="P25" s="19" t="s">
        <v>191</v>
      </c>
      <c r="Q25" s="20">
        <f t="shared" si="4"/>
        <v>1.333333333</v>
      </c>
      <c r="R25" s="20">
        <f t="shared" si="5"/>
        <v>0.875</v>
      </c>
      <c r="S25" s="20">
        <f t="shared" si="6"/>
        <v>0.08333333333</v>
      </c>
      <c r="T25" s="20">
        <f t="shared" si="7"/>
        <v>0.86</v>
      </c>
      <c r="U25" s="20">
        <f>IF(B25="","",MIN(Q25/Targets!$B$2,1)*Targets!$D$2+MIN(G25/100/Targets!$B$3,1)*Targets!$D$3+MIN(T25/Targets!$B$4,1)*Targets!$D$4+MIN(R25/Targets!$B$5,1)*Targets!$D$5+MIN(N25/Targets!$B$6,1)*Targets!$D$6+MIN(Targets!$B$7/MAX(S25,0.0001),1)*Targets!$D$7)</f>
        <v>0.6459356725</v>
      </c>
    </row>
    <row r="26">
      <c r="A26" s="18">
        <v>46217.0</v>
      </c>
      <c r="B26" s="19" t="s">
        <v>46</v>
      </c>
      <c r="C26" s="19" t="s">
        <v>179</v>
      </c>
      <c r="D26" s="19" t="s">
        <v>121</v>
      </c>
      <c r="E26" s="14">
        <f t="shared" si="1"/>
        <v>10</v>
      </c>
      <c r="F26" s="19">
        <f t="shared" si="2"/>
        <v>8</v>
      </c>
      <c r="G26" s="20">
        <f t="shared" si="3"/>
        <v>0.8</v>
      </c>
      <c r="H26" s="19">
        <v>32.0</v>
      </c>
      <c r="I26" s="19">
        <v>35.0</v>
      </c>
      <c r="J26" s="19">
        <v>2.0</v>
      </c>
      <c r="K26" s="19">
        <v>3.7</v>
      </c>
      <c r="L26" s="19">
        <v>50.0</v>
      </c>
      <c r="M26" s="19">
        <v>56.0</v>
      </c>
      <c r="N26" s="19">
        <v>7.0</v>
      </c>
      <c r="O26" s="19" t="s">
        <v>143</v>
      </c>
      <c r="P26" s="19" t="s">
        <v>144</v>
      </c>
      <c r="Q26" s="20">
        <f t="shared" si="4"/>
        <v>0.8</v>
      </c>
      <c r="R26" s="20">
        <f t="shared" si="5"/>
        <v>0.9142857143</v>
      </c>
      <c r="S26" s="20">
        <f t="shared" si="6"/>
        <v>0.05714285714</v>
      </c>
      <c r="T26" s="20">
        <f t="shared" si="7"/>
        <v>0.8928571429</v>
      </c>
      <c r="U26" s="20">
        <f>IF(B26="","",MIN(Q26/Targets!$B$2,1)*Targets!$D$2+MIN(G26/100/Targets!$B$3,1)*Targets!$D$3+MIN(T26/Targets!$B$4,1)*Targets!$D$4+MIN(R26/Targets!$B$5,1)*Targets!$D$5+MIN(N26/Targets!$B$6,1)*Targets!$D$6+MIN(Targets!$B$7/MAX(S26,0.0001),1)*Targets!$D$7)</f>
        <v>0.6611148705</v>
      </c>
    </row>
    <row r="27">
      <c r="A27" s="18">
        <v>46217.0</v>
      </c>
      <c r="B27" s="19" t="s">
        <v>53</v>
      </c>
      <c r="C27" s="19" t="s">
        <v>14</v>
      </c>
      <c r="D27" s="19" t="s">
        <v>121</v>
      </c>
      <c r="E27" s="14">
        <f t="shared" si="1"/>
        <v>7</v>
      </c>
      <c r="F27" s="19">
        <f t="shared" si="2"/>
        <v>6</v>
      </c>
      <c r="G27" s="20">
        <f t="shared" si="3"/>
        <v>0.8571428571</v>
      </c>
      <c r="H27" s="19">
        <v>44.0</v>
      </c>
      <c r="I27" s="19">
        <v>45.0</v>
      </c>
      <c r="J27" s="19">
        <v>2.0</v>
      </c>
      <c r="K27" s="19">
        <v>2.9</v>
      </c>
      <c r="L27" s="19">
        <v>53.0</v>
      </c>
      <c r="M27" s="19">
        <v>56.0</v>
      </c>
      <c r="N27" s="19">
        <v>7.4</v>
      </c>
      <c r="O27" s="19" t="s">
        <v>143</v>
      </c>
      <c r="P27" s="19" t="s">
        <v>191</v>
      </c>
      <c r="Q27" s="20">
        <f t="shared" si="4"/>
        <v>0.8571428571</v>
      </c>
      <c r="R27" s="20">
        <f t="shared" si="5"/>
        <v>0.9777777778</v>
      </c>
      <c r="S27" s="20">
        <f t="shared" si="6"/>
        <v>0.04444444444</v>
      </c>
      <c r="T27" s="20">
        <f t="shared" si="7"/>
        <v>0.9464285714</v>
      </c>
      <c r="U27" s="20">
        <f>IF(B27="","",MIN(Q27/Targets!$B$2,1)*Targets!$D$2+MIN(G27/100/Targets!$B$3,1)*Targets!$D$3+MIN(T27/Targets!$B$4,1)*Targets!$D$4+MIN(R27/Targets!$B$5,1)*Targets!$D$5+MIN(N27/Targets!$B$6,1)*Targets!$D$6+MIN(Targets!$B$7/MAX(S27,0.0001),1)*Targets!$D$7)</f>
        <v>0.6933333333</v>
      </c>
    </row>
    <row r="28">
      <c r="A28" s="18">
        <v>46217.0</v>
      </c>
      <c r="B28" s="19" t="s">
        <v>65</v>
      </c>
      <c r="C28" s="19" t="s">
        <v>167</v>
      </c>
      <c r="D28" s="19" t="s">
        <v>121</v>
      </c>
      <c r="E28" s="14">
        <f t="shared" si="1"/>
        <v>11</v>
      </c>
      <c r="F28" s="19">
        <f t="shared" si="2"/>
        <v>6</v>
      </c>
      <c r="G28" s="20">
        <f t="shared" si="3"/>
        <v>0.5454545455</v>
      </c>
      <c r="H28" s="19">
        <v>34.0</v>
      </c>
      <c r="I28" s="19">
        <v>40.0</v>
      </c>
      <c r="J28" s="19">
        <v>1.0</v>
      </c>
      <c r="K28" s="19">
        <v>3.4</v>
      </c>
      <c r="L28" s="19">
        <v>48.0</v>
      </c>
      <c r="M28" s="19">
        <v>53.0</v>
      </c>
      <c r="N28" s="19">
        <v>6.8</v>
      </c>
      <c r="O28" s="19" t="s">
        <v>143</v>
      </c>
      <c r="P28" s="19" t="s">
        <v>186</v>
      </c>
      <c r="Q28" s="20">
        <f t="shared" si="4"/>
        <v>0.5454545455</v>
      </c>
      <c r="R28" s="20">
        <f t="shared" si="5"/>
        <v>0.85</v>
      </c>
      <c r="S28" s="20">
        <f t="shared" si="6"/>
        <v>0.025</v>
      </c>
      <c r="T28" s="20">
        <f t="shared" si="7"/>
        <v>0.9056603774</v>
      </c>
      <c r="U28" s="20">
        <f>IF(B28="","",MIN(Q28/Targets!$B$2,1)*Targets!$D$2+MIN(G28/100/Targets!$B$3,1)*Targets!$D$3+MIN(T28/Targets!$B$4,1)*Targets!$D$4+MIN(R28/Targets!$B$5,1)*Targets!$D$5+MIN(N28/Targets!$B$6,1)*Targets!$D$6+MIN(Targets!$B$7/MAX(S28,0.0001),1)*Targets!$D$7)</f>
        <v>0.6043836865</v>
      </c>
    </row>
    <row r="29">
      <c r="A29" s="18">
        <v>46217.0</v>
      </c>
      <c r="B29" s="19" t="s">
        <v>73</v>
      </c>
      <c r="C29" s="19" t="s">
        <v>169</v>
      </c>
      <c r="D29" s="19" t="s">
        <v>121</v>
      </c>
      <c r="E29" s="14">
        <f t="shared" si="1"/>
        <v>7</v>
      </c>
      <c r="F29" s="19">
        <f t="shared" si="2"/>
        <v>9</v>
      </c>
      <c r="G29" s="20">
        <f t="shared" si="3"/>
        <v>1.285714286</v>
      </c>
      <c r="H29" s="19">
        <v>45.0</v>
      </c>
      <c r="I29" s="19">
        <v>50.0</v>
      </c>
      <c r="J29" s="19">
        <v>1.0</v>
      </c>
      <c r="K29" s="19">
        <v>4.4</v>
      </c>
      <c r="L29" s="19">
        <v>53.0</v>
      </c>
      <c r="M29" s="19">
        <v>61.0</v>
      </c>
      <c r="N29" s="19">
        <v>6.5</v>
      </c>
      <c r="O29" s="19" t="s">
        <v>143</v>
      </c>
      <c r="P29" s="19" t="s">
        <v>186</v>
      </c>
      <c r="Q29" s="20">
        <f t="shared" si="4"/>
        <v>1.285714286</v>
      </c>
      <c r="R29" s="20">
        <f t="shared" si="5"/>
        <v>0.9</v>
      </c>
      <c r="S29" s="20">
        <f t="shared" si="6"/>
        <v>0.02</v>
      </c>
      <c r="T29" s="20">
        <f t="shared" si="7"/>
        <v>0.868852459</v>
      </c>
      <c r="U29" s="20">
        <f>IF(B29="","",MIN(Q29/Targets!$B$2,1)*Targets!$D$2+MIN(G29/100/Targets!$B$3,1)*Targets!$D$3+MIN(T29/Targets!$B$4,1)*Targets!$D$4+MIN(R29/Targets!$B$5,1)*Targets!$D$5+MIN(N29/Targets!$B$6,1)*Targets!$D$6+MIN(Targets!$B$7/MAX(S29,0.0001),1)*Targets!$D$7)</f>
        <v>0.6840568635</v>
      </c>
    </row>
    <row r="30">
      <c r="A30" s="18">
        <v>46217.0</v>
      </c>
      <c r="B30" s="19" t="s">
        <v>78</v>
      </c>
      <c r="C30" s="19" t="s">
        <v>171</v>
      </c>
      <c r="D30" s="19" t="s">
        <v>121</v>
      </c>
      <c r="E30" s="14">
        <f t="shared" si="1"/>
        <v>7</v>
      </c>
      <c r="F30" s="19">
        <f t="shared" si="2"/>
        <v>13</v>
      </c>
      <c r="G30" s="20">
        <f t="shared" si="3"/>
        <v>1.857142857</v>
      </c>
      <c r="H30" s="19">
        <v>27.0</v>
      </c>
      <c r="I30" s="19">
        <v>33.0</v>
      </c>
      <c r="J30" s="19">
        <v>2.0</v>
      </c>
      <c r="K30" s="19">
        <v>4.4</v>
      </c>
      <c r="L30" s="19">
        <v>34.0</v>
      </c>
      <c r="M30" s="19">
        <v>40.0</v>
      </c>
      <c r="N30" s="19">
        <v>5.9</v>
      </c>
      <c r="O30" s="19" t="s">
        <v>143</v>
      </c>
      <c r="P30" s="19" t="s">
        <v>144</v>
      </c>
      <c r="Q30" s="20">
        <f t="shared" si="4"/>
        <v>1.857142857</v>
      </c>
      <c r="R30" s="20">
        <f t="shared" si="5"/>
        <v>0.8181818182</v>
      </c>
      <c r="S30" s="20">
        <f t="shared" si="6"/>
        <v>0.06060606061</v>
      </c>
      <c r="T30" s="20">
        <f t="shared" si="7"/>
        <v>0.85</v>
      </c>
      <c r="U30" s="20">
        <f>IF(B30="","",MIN(Q30/Targets!$B$2,1)*Targets!$D$2+MIN(G30/100/Targets!$B$3,1)*Targets!$D$3+MIN(T30/Targets!$B$4,1)*Targets!$D$4+MIN(R30/Targets!$B$5,1)*Targets!$D$5+MIN(N30/Targets!$B$6,1)*Targets!$D$6+MIN(Targets!$B$7/MAX(S30,0.0001),1)*Targets!$D$7)</f>
        <v>0.64382946</v>
      </c>
    </row>
    <row r="31">
      <c r="A31" s="18">
        <v>46217.0</v>
      </c>
      <c r="B31" s="19" t="s">
        <v>84</v>
      </c>
      <c r="C31" s="19" t="s">
        <v>179</v>
      </c>
      <c r="D31" s="19" t="s">
        <v>121</v>
      </c>
      <c r="E31" s="14">
        <f t="shared" si="1"/>
        <v>6</v>
      </c>
      <c r="F31" s="19">
        <f t="shared" si="2"/>
        <v>10</v>
      </c>
      <c r="G31" s="20">
        <f t="shared" si="3"/>
        <v>1.666666667</v>
      </c>
      <c r="H31" s="19">
        <v>33.0</v>
      </c>
      <c r="I31" s="19">
        <v>37.0</v>
      </c>
      <c r="J31" s="19">
        <v>2.0</v>
      </c>
      <c r="K31" s="19">
        <v>3.4</v>
      </c>
      <c r="L31" s="19">
        <v>47.0</v>
      </c>
      <c r="M31" s="19">
        <v>50.0</v>
      </c>
      <c r="N31" s="19">
        <v>6.5</v>
      </c>
      <c r="O31" s="19" t="s">
        <v>143</v>
      </c>
      <c r="P31" s="19" t="s">
        <v>191</v>
      </c>
      <c r="Q31" s="20">
        <f t="shared" si="4"/>
        <v>1.666666667</v>
      </c>
      <c r="R31" s="20">
        <f t="shared" si="5"/>
        <v>0.8918918919</v>
      </c>
      <c r="S31" s="20">
        <f t="shared" si="6"/>
        <v>0.05405405405</v>
      </c>
      <c r="T31" s="20">
        <f t="shared" si="7"/>
        <v>0.94</v>
      </c>
      <c r="U31" s="20">
        <f>IF(B31="","",MIN(Q31/Targets!$B$2,1)*Targets!$D$2+MIN(G31/100/Targets!$B$3,1)*Targets!$D$3+MIN(T31/Targets!$B$4,1)*Targets!$D$4+MIN(R31/Targets!$B$5,1)*Targets!$D$5+MIN(N31/Targets!$B$6,1)*Targets!$D$6+MIN(Targets!$B$7/MAX(S31,0.0001),1)*Targets!$D$7)</f>
        <v>0.681737734</v>
      </c>
    </row>
    <row r="32">
      <c r="A32" s="18">
        <v>46217.0</v>
      </c>
      <c r="B32" s="19" t="s">
        <v>91</v>
      </c>
      <c r="C32" s="19" t="s">
        <v>188</v>
      </c>
      <c r="D32" s="19" t="s">
        <v>121</v>
      </c>
      <c r="E32" s="14">
        <f t="shared" si="1"/>
        <v>16</v>
      </c>
      <c r="F32" s="19">
        <f t="shared" si="2"/>
        <v>13</v>
      </c>
      <c r="G32" s="20">
        <f t="shared" si="3"/>
        <v>0.8125</v>
      </c>
      <c r="H32" s="19">
        <v>44.0</v>
      </c>
      <c r="I32" s="19">
        <v>46.0</v>
      </c>
      <c r="J32" s="19">
        <v>3.0</v>
      </c>
      <c r="K32" s="19">
        <v>1.9</v>
      </c>
      <c r="L32" s="19">
        <v>53.0</v>
      </c>
      <c r="M32" s="19">
        <v>60.0</v>
      </c>
      <c r="N32" s="19">
        <v>8.3</v>
      </c>
      <c r="O32" s="19" t="s">
        <v>143</v>
      </c>
      <c r="P32" s="19" t="s">
        <v>187</v>
      </c>
      <c r="Q32" s="20">
        <f t="shared" si="4"/>
        <v>0.8125</v>
      </c>
      <c r="R32" s="20">
        <f t="shared" si="5"/>
        <v>0.9565217391</v>
      </c>
      <c r="S32" s="20">
        <f t="shared" si="6"/>
        <v>0.0652173913</v>
      </c>
      <c r="T32" s="20">
        <f t="shared" si="7"/>
        <v>0.8833333333</v>
      </c>
      <c r="U32" s="20">
        <f>IF(B32="","",MIN(Q32/Targets!$B$2,1)*Targets!$D$2+MIN(G32/100/Targets!$B$3,1)*Targets!$D$3+MIN(T32/Targets!$B$4,1)*Targets!$D$4+MIN(R32/Targets!$B$5,1)*Targets!$D$5+MIN(N32/Targets!$B$6,1)*Targets!$D$6+MIN(Targets!$B$7/MAX(S32,0.0001),1)*Targets!$D$7)</f>
        <v>0.6571527778</v>
      </c>
    </row>
    <row r="33">
      <c r="A33" s="18">
        <v>46217.0</v>
      </c>
      <c r="B33" s="19" t="s">
        <v>100</v>
      </c>
      <c r="C33" s="19" t="s">
        <v>190</v>
      </c>
      <c r="D33" s="19" t="s">
        <v>121</v>
      </c>
      <c r="E33" s="14">
        <f t="shared" si="1"/>
        <v>12</v>
      </c>
      <c r="F33" s="19">
        <f t="shared" si="2"/>
        <v>6</v>
      </c>
      <c r="G33" s="20">
        <f t="shared" si="3"/>
        <v>0.5</v>
      </c>
      <c r="H33" s="19">
        <v>43.0</v>
      </c>
      <c r="I33" s="19">
        <v>45.0</v>
      </c>
      <c r="J33" s="19">
        <v>3.0</v>
      </c>
      <c r="K33" s="19">
        <v>2.1</v>
      </c>
      <c r="L33" s="19">
        <v>56.0</v>
      </c>
      <c r="M33" s="19">
        <v>59.0</v>
      </c>
      <c r="N33" s="19">
        <v>7.3</v>
      </c>
      <c r="O33" s="19" t="s">
        <v>143</v>
      </c>
      <c r="P33" s="19" t="s">
        <v>186</v>
      </c>
      <c r="Q33" s="20">
        <f t="shared" si="4"/>
        <v>0.5</v>
      </c>
      <c r="R33" s="20">
        <f t="shared" si="5"/>
        <v>0.9555555556</v>
      </c>
      <c r="S33" s="20">
        <f t="shared" si="6"/>
        <v>0.06666666667</v>
      </c>
      <c r="T33" s="20">
        <f t="shared" si="7"/>
        <v>0.9491525424</v>
      </c>
      <c r="U33" s="20">
        <f>IF(B33="","",MIN(Q33/Targets!$B$2,1)*Targets!$D$2+MIN(G33/100/Targets!$B$3,1)*Targets!$D$3+MIN(T33/Targets!$B$4,1)*Targets!$D$4+MIN(R33/Targets!$B$5,1)*Targets!$D$5+MIN(N33/Targets!$B$6,1)*Targets!$D$6+MIN(Targets!$B$7/MAX(S33,0.0001),1)*Targets!$D$7)</f>
        <v>0.5877777778</v>
      </c>
    </row>
    <row r="34">
      <c r="A34" s="18">
        <v>46217.0</v>
      </c>
      <c r="B34" s="19" t="s">
        <v>109</v>
      </c>
      <c r="C34" s="19" t="s">
        <v>14</v>
      </c>
      <c r="D34" s="19" t="s">
        <v>121</v>
      </c>
      <c r="E34" s="14">
        <f t="shared" si="1"/>
        <v>11</v>
      </c>
      <c r="F34" s="19">
        <f t="shared" si="2"/>
        <v>14</v>
      </c>
      <c r="G34" s="20">
        <f t="shared" si="3"/>
        <v>1.272727273</v>
      </c>
      <c r="H34" s="19">
        <v>50.0</v>
      </c>
      <c r="I34" s="19">
        <v>52.0</v>
      </c>
      <c r="J34" s="19">
        <v>2.0</v>
      </c>
      <c r="K34" s="19">
        <v>2.8</v>
      </c>
      <c r="L34" s="19">
        <v>50.0</v>
      </c>
      <c r="M34" s="19">
        <v>55.0</v>
      </c>
      <c r="N34" s="19">
        <v>8.4</v>
      </c>
      <c r="O34" s="19" t="s">
        <v>143</v>
      </c>
      <c r="P34" s="19" t="s">
        <v>191</v>
      </c>
      <c r="Q34" s="20">
        <f t="shared" si="4"/>
        <v>1.272727273</v>
      </c>
      <c r="R34" s="20">
        <f t="shared" si="5"/>
        <v>0.9615384615</v>
      </c>
      <c r="S34" s="20">
        <f t="shared" si="6"/>
        <v>0.03846153846</v>
      </c>
      <c r="T34" s="20">
        <f t="shared" si="7"/>
        <v>0.9090909091</v>
      </c>
      <c r="U34" s="20">
        <f>IF(B34="","",MIN(Q34/Targets!$B$2,1)*Targets!$D$2+MIN(G34/100/Targets!$B$3,1)*Targets!$D$3+MIN(T34/Targets!$B$4,1)*Targets!$D$4+MIN(R34/Targets!$B$5,1)*Targets!$D$5+MIN(N34/Targets!$B$6,1)*Targets!$D$6+MIN(Targets!$B$7/MAX(S34,0.0001),1)*Targets!$D$7)</f>
        <v>0.7042424242</v>
      </c>
    </row>
    <row r="35">
      <c r="A35" s="18">
        <v>46217.0</v>
      </c>
      <c r="B35" s="19" t="s">
        <v>115</v>
      </c>
      <c r="C35" s="19" t="s">
        <v>167</v>
      </c>
      <c r="D35" s="19" t="s">
        <v>121</v>
      </c>
      <c r="E35" s="14">
        <f t="shared" si="1"/>
        <v>9</v>
      </c>
      <c r="F35" s="19">
        <f t="shared" si="2"/>
        <v>7</v>
      </c>
      <c r="G35" s="20">
        <f t="shared" si="3"/>
        <v>0.7777777778</v>
      </c>
      <c r="H35" s="19">
        <v>37.0</v>
      </c>
      <c r="I35" s="19">
        <v>40.0</v>
      </c>
      <c r="J35" s="19">
        <v>2.0</v>
      </c>
      <c r="K35" s="19">
        <v>3.6</v>
      </c>
      <c r="L35" s="19">
        <v>42.0</v>
      </c>
      <c r="M35" s="19">
        <v>49.0</v>
      </c>
      <c r="N35" s="19">
        <v>8.0</v>
      </c>
      <c r="O35" s="19" t="s">
        <v>143</v>
      </c>
      <c r="P35" s="19" t="s">
        <v>168</v>
      </c>
      <c r="Q35" s="20">
        <f t="shared" si="4"/>
        <v>0.7777777778</v>
      </c>
      <c r="R35" s="20">
        <f t="shared" si="5"/>
        <v>0.925</v>
      </c>
      <c r="S35" s="20">
        <f t="shared" si="6"/>
        <v>0.05</v>
      </c>
      <c r="T35" s="20">
        <f t="shared" si="7"/>
        <v>0.8571428571</v>
      </c>
      <c r="U35" s="20">
        <f>IF(B35="","",MIN(Q35/Targets!$B$2,1)*Targets!$D$2+MIN(G35/100/Targets!$B$3,1)*Targets!$D$3+MIN(T35/Targets!$B$4,1)*Targets!$D$4+MIN(R35/Targets!$B$5,1)*Targets!$D$5+MIN(N35/Targets!$B$6,1)*Targets!$D$6+MIN(Targets!$B$7/MAX(S35,0.0001),1)*Targets!$D$7)</f>
        <v>0.6643418732</v>
      </c>
    </row>
    <row r="36">
      <c r="A36" s="18">
        <v>46217.0</v>
      </c>
      <c r="B36" s="19" t="s">
        <v>118</v>
      </c>
      <c r="C36" s="19" t="s">
        <v>169</v>
      </c>
      <c r="D36" s="19" t="s">
        <v>121</v>
      </c>
      <c r="E36" s="14">
        <f t="shared" si="1"/>
        <v>16</v>
      </c>
      <c r="F36" s="19">
        <f t="shared" si="2"/>
        <v>12</v>
      </c>
      <c r="G36" s="20">
        <f t="shared" si="3"/>
        <v>0.75</v>
      </c>
      <c r="H36" s="19">
        <v>35.0</v>
      </c>
      <c r="I36" s="19">
        <v>37.0</v>
      </c>
      <c r="J36" s="19">
        <v>1.0</v>
      </c>
      <c r="K36" s="19">
        <v>4.4</v>
      </c>
      <c r="L36" s="19">
        <v>44.0</v>
      </c>
      <c r="M36" s="19">
        <v>55.0</v>
      </c>
      <c r="N36" s="19">
        <v>6.8</v>
      </c>
      <c r="O36" s="19" t="s">
        <v>143</v>
      </c>
      <c r="P36" s="19" t="s">
        <v>189</v>
      </c>
      <c r="Q36" s="20">
        <f t="shared" si="4"/>
        <v>0.75</v>
      </c>
      <c r="R36" s="20">
        <f t="shared" si="5"/>
        <v>0.9459459459</v>
      </c>
      <c r="S36" s="20">
        <f t="shared" si="6"/>
        <v>0.02702702703</v>
      </c>
      <c r="T36" s="20">
        <f t="shared" si="7"/>
        <v>0.8</v>
      </c>
      <c r="U36" s="20">
        <f>IF(B36="","",MIN(Q36/Targets!$B$2,1)*Targets!$D$2+MIN(G36/100/Targets!$B$3,1)*Targets!$D$3+MIN(T36/Targets!$B$4,1)*Targets!$D$4+MIN(R36/Targets!$B$5,1)*Targets!$D$5+MIN(N36/Targets!$B$6,1)*Targets!$D$6+MIN(Targets!$B$7/MAX(S36,0.0001),1)*Targets!$D$7)</f>
        <v>0.6490027433</v>
      </c>
    </row>
    <row r="37">
      <c r="A37" s="18">
        <v>46217.0</v>
      </c>
      <c r="B37" s="19" t="s">
        <v>123</v>
      </c>
      <c r="C37" s="19" t="s">
        <v>171</v>
      </c>
      <c r="D37" s="19" t="s">
        <v>121</v>
      </c>
      <c r="E37" s="14">
        <f t="shared" si="1"/>
        <v>10</v>
      </c>
      <c r="F37" s="19">
        <f t="shared" si="2"/>
        <v>8</v>
      </c>
      <c r="G37" s="20">
        <f t="shared" si="3"/>
        <v>0.8</v>
      </c>
      <c r="H37" s="19">
        <v>43.0</v>
      </c>
      <c r="I37" s="19">
        <v>45.0</v>
      </c>
      <c r="J37" s="19">
        <v>2.0</v>
      </c>
      <c r="K37" s="19">
        <v>2.2</v>
      </c>
      <c r="L37" s="19">
        <v>53.0</v>
      </c>
      <c r="M37" s="19">
        <v>54.0</v>
      </c>
      <c r="N37" s="19">
        <v>7.5</v>
      </c>
      <c r="O37" s="19" t="s">
        <v>143</v>
      </c>
      <c r="P37" s="19" t="s">
        <v>144</v>
      </c>
      <c r="Q37" s="20">
        <f t="shared" si="4"/>
        <v>0.8</v>
      </c>
      <c r="R37" s="20">
        <f t="shared" si="5"/>
        <v>0.9555555556</v>
      </c>
      <c r="S37" s="20">
        <f t="shared" si="6"/>
        <v>0.04444444444</v>
      </c>
      <c r="T37" s="20">
        <f t="shared" si="7"/>
        <v>0.9814814815</v>
      </c>
      <c r="U37" s="20">
        <f>IF(B37="","",MIN(Q37/Targets!$B$2,1)*Targets!$D$2+MIN(G37/100/Targets!$B$3,1)*Targets!$D$3+MIN(T37/Targets!$B$4,1)*Targets!$D$4+MIN(R37/Targets!$B$5,1)*Targets!$D$5+MIN(N37/Targets!$B$6,1)*Targets!$D$6+MIN(Targets!$B$7/MAX(S37,0.0001),1)*Targets!$D$7)</f>
        <v>0.6804444444</v>
      </c>
    </row>
    <row r="38">
      <c r="A38" s="18">
        <v>46217.0</v>
      </c>
      <c r="B38" s="19" t="s">
        <v>126</v>
      </c>
      <c r="C38" s="19" t="s">
        <v>179</v>
      </c>
      <c r="D38" s="19" t="s">
        <v>121</v>
      </c>
      <c r="E38" s="14">
        <f t="shared" si="1"/>
        <v>12</v>
      </c>
      <c r="F38" s="19">
        <f t="shared" si="2"/>
        <v>14</v>
      </c>
      <c r="G38" s="20">
        <f t="shared" si="3"/>
        <v>1.166666667</v>
      </c>
      <c r="H38" s="19">
        <v>43.0</v>
      </c>
      <c r="I38" s="19">
        <v>47.0</v>
      </c>
      <c r="J38" s="19">
        <v>3.0</v>
      </c>
      <c r="K38" s="19">
        <v>2.5</v>
      </c>
      <c r="L38" s="19">
        <v>48.0</v>
      </c>
      <c r="M38" s="19">
        <v>56.0</v>
      </c>
      <c r="N38" s="19">
        <v>7.6</v>
      </c>
      <c r="O38" s="19" t="s">
        <v>143</v>
      </c>
      <c r="P38" s="19" t="s">
        <v>186</v>
      </c>
      <c r="Q38" s="20">
        <f t="shared" si="4"/>
        <v>1.166666667</v>
      </c>
      <c r="R38" s="20">
        <f t="shared" si="5"/>
        <v>0.914893617</v>
      </c>
      <c r="S38" s="20">
        <f t="shared" si="6"/>
        <v>0.06382978723</v>
      </c>
      <c r="T38" s="20">
        <f t="shared" si="7"/>
        <v>0.8571428571</v>
      </c>
      <c r="U38" s="20">
        <f>IF(B38="","",MIN(Q38/Targets!$B$2,1)*Targets!$D$2+MIN(G38/100/Targets!$B$3,1)*Targets!$D$3+MIN(T38/Targets!$B$4,1)*Targets!$D$4+MIN(R38/Targets!$B$5,1)*Targets!$D$5+MIN(N38/Targets!$B$6,1)*Targets!$D$6+MIN(Targets!$B$7/MAX(S38,0.0001),1)*Targets!$D$7)</f>
        <v>0.669536252</v>
      </c>
    </row>
    <row r="39">
      <c r="A39" s="18">
        <v>46217.0</v>
      </c>
      <c r="B39" s="19" t="s">
        <v>129</v>
      </c>
      <c r="C39" s="19" t="s">
        <v>188</v>
      </c>
      <c r="D39" s="19" t="s">
        <v>121</v>
      </c>
      <c r="E39" s="14">
        <f t="shared" si="1"/>
        <v>16</v>
      </c>
      <c r="F39" s="19">
        <f t="shared" si="2"/>
        <v>9</v>
      </c>
      <c r="G39" s="20">
        <f t="shared" si="3"/>
        <v>0.5625</v>
      </c>
      <c r="H39" s="19">
        <v>34.0</v>
      </c>
      <c r="I39" s="19">
        <v>38.0</v>
      </c>
      <c r="J39" s="19">
        <v>1.0</v>
      </c>
      <c r="K39" s="19">
        <v>3.6</v>
      </c>
      <c r="L39" s="19">
        <v>40.0</v>
      </c>
      <c r="M39" s="19">
        <v>44.0</v>
      </c>
      <c r="N39" s="19">
        <v>6.4</v>
      </c>
      <c r="O39" s="19" t="s">
        <v>143</v>
      </c>
      <c r="P39" s="19" t="s">
        <v>168</v>
      </c>
      <c r="Q39" s="20">
        <f t="shared" si="4"/>
        <v>0.5625</v>
      </c>
      <c r="R39" s="20">
        <f t="shared" si="5"/>
        <v>0.8947368421</v>
      </c>
      <c r="S39" s="20">
        <f t="shared" si="6"/>
        <v>0.02631578947</v>
      </c>
      <c r="T39" s="20">
        <f t="shared" si="7"/>
        <v>0.9090909091</v>
      </c>
      <c r="U39" s="20">
        <f>IF(B39="","",MIN(Q39/Targets!$B$2,1)*Targets!$D$2+MIN(G39/100/Targets!$B$3,1)*Targets!$D$3+MIN(T39/Targets!$B$4,1)*Targets!$D$4+MIN(R39/Targets!$B$5,1)*Targets!$D$5+MIN(N39/Targets!$B$6,1)*Targets!$D$6+MIN(Targets!$B$7/MAX(S39,0.0001),1)*Targets!$D$7)</f>
        <v>0.6095778097</v>
      </c>
    </row>
    <row r="40">
      <c r="A40" s="18">
        <v>46217.0</v>
      </c>
      <c r="B40" s="19" t="s">
        <v>132</v>
      </c>
      <c r="C40" s="19" t="s">
        <v>190</v>
      </c>
      <c r="D40" s="19" t="s">
        <v>121</v>
      </c>
      <c r="E40" s="14">
        <f t="shared" si="1"/>
        <v>16</v>
      </c>
      <c r="F40" s="19">
        <f t="shared" si="2"/>
        <v>8</v>
      </c>
      <c r="G40" s="20">
        <f t="shared" si="3"/>
        <v>0.5</v>
      </c>
      <c r="H40" s="19">
        <v>35.0</v>
      </c>
      <c r="I40" s="19">
        <v>37.0</v>
      </c>
      <c r="J40" s="19">
        <v>1.0</v>
      </c>
      <c r="K40" s="19">
        <v>4.1</v>
      </c>
      <c r="L40" s="19">
        <v>44.0</v>
      </c>
      <c r="M40" s="19">
        <v>48.0</v>
      </c>
      <c r="N40" s="19">
        <v>6.8</v>
      </c>
      <c r="O40" s="19" t="s">
        <v>143</v>
      </c>
      <c r="P40" s="19" t="s">
        <v>189</v>
      </c>
      <c r="Q40" s="20">
        <f t="shared" si="4"/>
        <v>0.5</v>
      </c>
      <c r="R40" s="20">
        <f t="shared" si="5"/>
        <v>0.9459459459</v>
      </c>
      <c r="S40" s="20">
        <f t="shared" si="6"/>
        <v>0.02702702703</v>
      </c>
      <c r="T40" s="20">
        <f t="shared" si="7"/>
        <v>0.9166666667</v>
      </c>
      <c r="U40" s="20">
        <f>IF(B40="","",MIN(Q40/Targets!$B$2,1)*Targets!$D$2+MIN(G40/100/Targets!$B$3,1)*Targets!$D$3+MIN(T40/Targets!$B$4,1)*Targets!$D$4+MIN(R40/Targets!$B$5,1)*Targets!$D$5+MIN(N40/Targets!$B$6,1)*Targets!$D$6+MIN(Targets!$B$7/MAX(S40,0.0001),1)*Targets!$D$7)</f>
        <v>0.6092805211</v>
      </c>
    </row>
    <row r="41">
      <c r="A41" s="18">
        <v>46217.0</v>
      </c>
      <c r="B41" s="19" t="s">
        <v>135</v>
      </c>
      <c r="C41" s="19" t="s">
        <v>169</v>
      </c>
      <c r="D41" s="19" t="s">
        <v>121</v>
      </c>
      <c r="E41" s="14">
        <f t="shared" si="1"/>
        <v>9</v>
      </c>
      <c r="F41" s="19">
        <f t="shared" si="2"/>
        <v>11</v>
      </c>
      <c r="G41" s="20">
        <f t="shared" si="3"/>
        <v>1.222222222</v>
      </c>
      <c r="H41" s="19">
        <v>46.0</v>
      </c>
      <c r="I41" s="19">
        <v>48.0</v>
      </c>
      <c r="J41" s="19">
        <v>1.0</v>
      </c>
      <c r="K41" s="19">
        <v>2.2</v>
      </c>
      <c r="L41" s="19">
        <v>59.0</v>
      </c>
      <c r="M41" s="19">
        <v>61.0</v>
      </c>
      <c r="N41" s="19">
        <v>7.6</v>
      </c>
      <c r="O41" s="19" t="s">
        <v>143</v>
      </c>
      <c r="P41" s="19" t="s">
        <v>187</v>
      </c>
      <c r="Q41" s="20">
        <f t="shared" si="4"/>
        <v>1.222222222</v>
      </c>
      <c r="R41" s="20">
        <f t="shared" si="5"/>
        <v>0.9583333333</v>
      </c>
      <c r="S41" s="20">
        <f t="shared" si="6"/>
        <v>0.02083333333</v>
      </c>
      <c r="T41" s="20">
        <f t="shared" si="7"/>
        <v>0.9672131148</v>
      </c>
      <c r="U41" s="20">
        <f>IF(B41="","",MIN(Q41/Targets!$B$2,1)*Targets!$D$2+MIN(G41/100/Targets!$B$3,1)*Targets!$D$3+MIN(T41/Targets!$B$4,1)*Targets!$D$4+MIN(R41/Targets!$B$5,1)*Targets!$D$5+MIN(N41/Targets!$B$6,1)*Targets!$D$6+MIN(Targets!$B$7/MAX(S41,0.0001),1)*Targets!$D$7)</f>
        <v>0.7040740741</v>
      </c>
    </row>
    <row r="42">
      <c r="A42" s="18">
        <v>46218.0</v>
      </c>
      <c r="B42" s="19" t="s">
        <v>10</v>
      </c>
      <c r="C42" s="19" t="s">
        <v>14</v>
      </c>
      <c r="D42" s="19" t="s">
        <v>121</v>
      </c>
      <c r="E42" s="14">
        <f t="shared" si="1"/>
        <v>16</v>
      </c>
      <c r="F42" s="19">
        <f t="shared" si="2"/>
        <v>8</v>
      </c>
      <c r="G42" s="20">
        <f t="shared" si="3"/>
        <v>0.5</v>
      </c>
      <c r="H42" s="19">
        <v>35.0</v>
      </c>
      <c r="I42" s="19">
        <v>38.0</v>
      </c>
      <c r="J42" s="19">
        <v>1.0</v>
      </c>
      <c r="K42" s="19">
        <v>1.9</v>
      </c>
      <c r="L42" s="19">
        <v>42.0</v>
      </c>
      <c r="M42" s="19">
        <v>48.0</v>
      </c>
      <c r="N42" s="19">
        <v>7.9</v>
      </c>
      <c r="O42" s="19" t="s">
        <v>143</v>
      </c>
      <c r="P42" s="19" t="s">
        <v>144</v>
      </c>
      <c r="Q42" s="20">
        <f t="shared" si="4"/>
        <v>0.5</v>
      </c>
      <c r="R42" s="20">
        <f t="shared" si="5"/>
        <v>0.9210526316</v>
      </c>
      <c r="S42" s="20">
        <f t="shared" si="6"/>
        <v>0.02631578947</v>
      </c>
      <c r="T42" s="20">
        <f t="shared" si="7"/>
        <v>0.875</v>
      </c>
      <c r="U42" s="20">
        <f>IF(B42="","",MIN(Q42/Targets!$B$2,1)*Targets!$D$2+MIN(G42/100/Targets!$B$3,1)*Targets!$D$3+MIN(T42/Targets!$B$4,1)*Targets!$D$4+MIN(R42/Targets!$B$5,1)*Targets!$D$5+MIN(N42/Targets!$B$6,1)*Targets!$D$6+MIN(Targets!$B$7/MAX(S42,0.0001),1)*Targets!$D$7)</f>
        <v>0.604040474</v>
      </c>
    </row>
    <row r="43">
      <c r="A43" s="18">
        <v>46218.0</v>
      </c>
      <c r="B43" s="19" t="s">
        <v>25</v>
      </c>
      <c r="C43" s="19" t="s">
        <v>167</v>
      </c>
      <c r="D43" s="19" t="s">
        <v>121</v>
      </c>
      <c r="E43" s="14">
        <f t="shared" si="1"/>
        <v>9</v>
      </c>
      <c r="F43" s="19">
        <f t="shared" si="2"/>
        <v>10</v>
      </c>
      <c r="G43" s="20">
        <f t="shared" si="3"/>
        <v>1.111111111</v>
      </c>
      <c r="H43" s="19">
        <v>36.0</v>
      </c>
      <c r="I43" s="19">
        <v>38.0</v>
      </c>
      <c r="J43" s="19">
        <v>1.0</v>
      </c>
      <c r="K43" s="19">
        <v>3.2</v>
      </c>
      <c r="L43" s="19">
        <v>50.0</v>
      </c>
      <c r="M43" s="19">
        <v>59.0</v>
      </c>
      <c r="N43" s="19">
        <v>7.2</v>
      </c>
      <c r="O43" s="19" t="s">
        <v>143</v>
      </c>
      <c r="P43" s="19" t="s">
        <v>144</v>
      </c>
      <c r="Q43" s="20">
        <f t="shared" si="4"/>
        <v>1.111111111</v>
      </c>
      <c r="R43" s="20">
        <f t="shared" si="5"/>
        <v>0.9473684211</v>
      </c>
      <c r="S43" s="20">
        <f t="shared" si="6"/>
        <v>0.02631578947</v>
      </c>
      <c r="T43" s="20">
        <f t="shared" si="7"/>
        <v>0.8474576271</v>
      </c>
      <c r="U43" s="20">
        <f>IF(B43="","",MIN(Q43/Targets!$B$2,1)*Targets!$D$2+MIN(G43/100/Targets!$B$3,1)*Targets!$D$3+MIN(T43/Targets!$B$4,1)*Targets!$D$4+MIN(R43/Targets!$B$5,1)*Targets!$D$5+MIN(N43/Targets!$B$6,1)*Targets!$D$6+MIN(Targets!$B$7/MAX(S43,0.0001),1)*Targets!$D$7)</f>
        <v>0.6945311291</v>
      </c>
    </row>
    <row r="44">
      <c r="A44" s="18">
        <v>46218.0</v>
      </c>
      <c r="B44" s="19" t="s">
        <v>37</v>
      </c>
      <c r="C44" s="19" t="s">
        <v>169</v>
      </c>
      <c r="D44" s="19" t="s">
        <v>121</v>
      </c>
      <c r="E44" s="14">
        <f t="shared" si="1"/>
        <v>15</v>
      </c>
      <c r="F44" s="19">
        <f t="shared" si="2"/>
        <v>12</v>
      </c>
      <c r="G44" s="20">
        <f t="shared" si="3"/>
        <v>0.8</v>
      </c>
      <c r="H44" s="19">
        <v>23.0</v>
      </c>
      <c r="I44" s="19">
        <v>28.0</v>
      </c>
      <c r="J44" s="19">
        <v>1.0</v>
      </c>
      <c r="K44" s="19">
        <v>5.5</v>
      </c>
      <c r="L44" s="19">
        <v>36.0</v>
      </c>
      <c r="M44" s="19">
        <v>53.0</v>
      </c>
      <c r="N44" s="19">
        <v>6.7</v>
      </c>
      <c r="O44" s="19" t="s">
        <v>143</v>
      </c>
      <c r="P44" s="19" t="s">
        <v>189</v>
      </c>
      <c r="Q44" s="20">
        <f t="shared" si="4"/>
        <v>0.8</v>
      </c>
      <c r="R44" s="20">
        <f t="shared" si="5"/>
        <v>0.8214285714</v>
      </c>
      <c r="S44" s="20">
        <f t="shared" si="6"/>
        <v>0.03571428571</v>
      </c>
      <c r="T44" s="20">
        <f t="shared" si="7"/>
        <v>0.679245283</v>
      </c>
      <c r="U44" s="20">
        <f>IF(B44="","",MIN(Q44/Targets!$B$2,1)*Targets!$D$2+MIN(G44/100/Targets!$B$3,1)*Targets!$D$3+MIN(T44/Targets!$B$4,1)*Targets!$D$4+MIN(R44/Targets!$B$5,1)*Targets!$D$5+MIN(N44/Targets!$B$6,1)*Targets!$D$6+MIN(Targets!$B$7/MAX(S44,0.0001),1)*Targets!$D$7)</f>
        <v>0.6190655254</v>
      </c>
    </row>
    <row r="45">
      <c r="A45" s="18">
        <v>46218.0</v>
      </c>
      <c r="B45" s="19" t="s">
        <v>42</v>
      </c>
      <c r="C45" s="19" t="s">
        <v>171</v>
      </c>
      <c r="D45" s="19" t="s">
        <v>121</v>
      </c>
      <c r="E45" s="14">
        <f t="shared" si="1"/>
        <v>13</v>
      </c>
      <c r="F45" s="19">
        <f t="shared" si="2"/>
        <v>11</v>
      </c>
      <c r="G45" s="20">
        <f t="shared" si="3"/>
        <v>0.8461538462</v>
      </c>
      <c r="H45" s="19">
        <v>23.0</v>
      </c>
      <c r="I45" s="19">
        <v>26.0</v>
      </c>
      <c r="J45" s="19">
        <v>1.0</v>
      </c>
      <c r="K45" s="19">
        <v>4.0</v>
      </c>
      <c r="L45" s="19">
        <v>32.0</v>
      </c>
      <c r="M45" s="19">
        <v>42.0</v>
      </c>
      <c r="N45" s="19">
        <v>5.2</v>
      </c>
      <c r="O45" s="19" t="s">
        <v>143</v>
      </c>
      <c r="P45" s="19" t="s">
        <v>189</v>
      </c>
      <c r="Q45" s="20">
        <f t="shared" si="4"/>
        <v>0.8461538462</v>
      </c>
      <c r="R45" s="20">
        <f t="shared" si="5"/>
        <v>0.8846153846</v>
      </c>
      <c r="S45" s="20">
        <f t="shared" si="6"/>
        <v>0.03846153846</v>
      </c>
      <c r="T45" s="20">
        <f t="shared" si="7"/>
        <v>0.7619047619</v>
      </c>
      <c r="U45" s="20">
        <f>IF(B45="","",MIN(Q45/Targets!$B$2,1)*Targets!$D$2+MIN(G45/100/Targets!$B$3,1)*Targets!$D$3+MIN(T45/Targets!$B$4,1)*Targets!$D$4+MIN(R45/Targets!$B$5,1)*Targets!$D$5+MIN(N45/Targets!$B$6,1)*Targets!$D$6+MIN(Targets!$B$7/MAX(S45,0.0001),1)*Targets!$D$7)</f>
        <v>0.6318006555</v>
      </c>
    </row>
    <row r="46">
      <c r="A46" s="18">
        <v>46218.0</v>
      </c>
      <c r="B46" s="19" t="s">
        <v>46</v>
      </c>
      <c r="C46" s="19" t="s">
        <v>179</v>
      </c>
      <c r="D46" s="19" t="s">
        <v>121</v>
      </c>
      <c r="E46" s="14">
        <f t="shared" si="1"/>
        <v>6</v>
      </c>
      <c r="F46" s="19">
        <f t="shared" si="2"/>
        <v>7</v>
      </c>
      <c r="G46" s="20">
        <f t="shared" si="3"/>
        <v>1.166666667</v>
      </c>
      <c r="H46" s="19">
        <v>27.0</v>
      </c>
      <c r="I46" s="19">
        <v>29.0</v>
      </c>
      <c r="J46" s="19">
        <v>2.0</v>
      </c>
      <c r="K46" s="19">
        <v>2.7</v>
      </c>
      <c r="L46" s="19">
        <v>35.0</v>
      </c>
      <c r="M46" s="19">
        <v>44.0</v>
      </c>
      <c r="N46" s="19">
        <v>7.9</v>
      </c>
      <c r="O46" s="19" t="s">
        <v>143</v>
      </c>
      <c r="P46" s="19" t="s">
        <v>191</v>
      </c>
      <c r="Q46" s="20">
        <f t="shared" si="4"/>
        <v>1.166666667</v>
      </c>
      <c r="R46" s="20">
        <f t="shared" si="5"/>
        <v>0.9310344828</v>
      </c>
      <c r="S46" s="20">
        <f t="shared" si="6"/>
        <v>0.06896551724</v>
      </c>
      <c r="T46" s="20">
        <f t="shared" si="7"/>
        <v>0.7954545455</v>
      </c>
      <c r="U46" s="20">
        <f>IF(B46="","",MIN(Q46/Targets!$B$2,1)*Targets!$D$2+MIN(G46/100/Targets!$B$3,1)*Targets!$D$3+MIN(T46/Targets!$B$4,1)*Targets!$D$4+MIN(R46/Targets!$B$5,1)*Targets!$D$5+MIN(N46/Targets!$B$6,1)*Targets!$D$6+MIN(Targets!$B$7/MAX(S46,0.0001),1)*Targets!$D$7)</f>
        <v>0.6559700911</v>
      </c>
    </row>
    <row r="47">
      <c r="A47" s="18">
        <v>46218.0</v>
      </c>
      <c r="B47" s="19" t="s">
        <v>53</v>
      </c>
      <c r="C47" s="19" t="s">
        <v>14</v>
      </c>
      <c r="D47" s="19" t="s">
        <v>121</v>
      </c>
      <c r="E47" s="14">
        <f t="shared" si="1"/>
        <v>7</v>
      </c>
      <c r="F47" s="19">
        <f t="shared" si="2"/>
        <v>6</v>
      </c>
      <c r="G47" s="20">
        <f t="shared" si="3"/>
        <v>0.8571428571</v>
      </c>
      <c r="H47" s="19">
        <v>31.0</v>
      </c>
      <c r="I47" s="19">
        <v>36.0</v>
      </c>
      <c r="J47" s="19">
        <v>1.0</v>
      </c>
      <c r="K47" s="19">
        <v>2.7</v>
      </c>
      <c r="L47" s="19">
        <v>44.0</v>
      </c>
      <c r="M47" s="19">
        <v>51.0</v>
      </c>
      <c r="N47" s="19">
        <v>7.9</v>
      </c>
      <c r="O47" s="19" t="s">
        <v>143</v>
      </c>
      <c r="P47" s="19" t="s">
        <v>191</v>
      </c>
      <c r="Q47" s="20">
        <f t="shared" si="4"/>
        <v>0.8571428571</v>
      </c>
      <c r="R47" s="20">
        <f t="shared" si="5"/>
        <v>0.8611111111</v>
      </c>
      <c r="S47" s="20">
        <f t="shared" si="6"/>
        <v>0.02777777778</v>
      </c>
      <c r="T47" s="20">
        <f t="shared" si="7"/>
        <v>0.862745098</v>
      </c>
      <c r="U47" s="20">
        <f>IF(B47="","",MIN(Q47/Targets!$B$2,1)*Targets!$D$2+MIN(G47/100/Targets!$B$3,1)*Targets!$D$3+MIN(T47/Targets!$B$4,1)*Targets!$D$4+MIN(R47/Targets!$B$5,1)*Targets!$D$5+MIN(N47/Targets!$B$6,1)*Targets!$D$6+MIN(Targets!$B$7/MAX(S47,0.0001),1)*Targets!$D$7)</f>
        <v>0.6730890953</v>
      </c>
    </row>
    <row r="48">
      <c r="A48" s="18">
        <v>46218.0</v>
      </c>
      <c r="B48" s="19" t="s">
        <v>65</v>
      </c>
      <c r="C48" s="19" t="s">
        <v>167</v>
      </c>
      <c r="D48" s="19" t="s">
        <v>121</v>
      </c>
      <c r="E48" s="14">
        <f t="shared" si="1"/>
        <v>7</v>
      </c>
      <c r="F48" s="19">
        <f t="shared" si="2"/>
        <v>10</v>
      </c>
      <c r="G48" s="20">
        <f t="shared" si="3"/>
        <v>1.428571429</v>
      </c>
      <c r="H48" s="19">
        <v>28.0</v>
      </c>
      <c r="I48" s="19">
        <v>31.0</v>
      </c>
      <c r="J48" s="19">
        <v>2.0</v>
      </c>
      <c r="K48" s="19">
        <v>4.2</v>
      </c>
      <c r="L48" s="19">
        <v>40.0</v>
      </c>
      <c r="M48" s="19">
        <v>52.0</v>
      </c>
      <c r="N48" s="19">
        <v>6.8</v>
      </c>
      <c r="O48" s="19" t="s">
        <v>143</v>
      </c>
      <c r="P48" s="19" t="s">
        <v>189</v>
      </c>
      <c r="Q48" s="20">
        <f t="shared" si="4"/>
        <v>1.428571429</v>
      </c>
      <c r="R48" s="20">
        <f t="shared" si="5"/>
        <v>0.9032258065</v>
      </c>
      <c r="S48" s="20">
        <f t="shared" si="6"/>
        <v>0.06451612903</v>
      </c>
      <c r="T48" s="20">
        <f t="shared" si="7"/>
        <v>0.7692307692</v>
      </c>
      <c r="U48" s="20">
        <f>IF(B48="","",MIN(Q48/Targets!$B$2,1)*Targets!$D$2+MIN(G48/100/Targets!$B$3,1)*Targets!$D$3+MIN(T48/Targets!$B$4,1)*Targets!$D$4+MIN(R48/Targets!$B$5,1)*Targets!$D$5+MIN(N48/Targets!$B$6,1)*Targets!$D$6+MIN(Targets!$B$7/MAX(S48,0.0001),1)*Targets!$D$7)</f>
        <v>0.6502244911</v>
      </c>
    </row>
    <row r="49">
      <c r="A49" s="18">
        <v>46218.0</v>
      </c>
      <c r="B49" s="19" t="s">
        <v>73</v>
      </c>
      <c r="C49" s="19" t="s">
        <v>169</v>
      </c>
      <c r="D49" s="19" t="s">
        <v>121</v>
      </c>
      <c r="E49" s="14">
        <f t="shared" si="1"/>
        <v>9</v>
      </c>
      <c r="F49" s="19">
        <f t="shared" si="2"/>
        <v>14</v>
      </c>
      <c r="G49" s="20">
        <f t="shared" si="3"/>
        <v>1.555555556</v>
      </c>
      <c r="H49" s="19">
        <v>40.0</v>
      </c>
      <c r="I49" s="19">
        <v>44.0</v>
      </c>
      <c r="J49" s="19">
        <v>3.0</v>
      </c>
      <c r="K49" s="19">
        <v>2.0</v>
      </c>
      <c r="L49" s="19">
        <v>55.0</v>
      </c>
      <c r="M49" s="19">
        <v>56.0</v>
      </c>
      <c r="N49" s="19">
        <v>7.4</v>
      </c>
      <c r="O49" s="19" t="s">
        <v>143</v>
      </c>
      <c r="P49" s="19" t="s">
        <v>187</v>
      </c>
      <c r="Q49" s="20">
        <f t="shared" si="4"/>
        <v>1.555555556</v>
      </c>
      <c r="R49" s="20">
        <f t="shared" si="5"/>
        <v>0.9090909091</v>
      </c>
      <c r="S49" s="20">
        <f t="shared" si="6"/>
        <v>0.06818181818</v>
      </c>
      <c r="T49" s="20">
        <f t="shared" si="7"/>
        <v>0.9821428571</v>
      </c>
      <c r="U49" s="20">
        <f>IF(B49="","",MIN(Q49/Targets!$B$2,1)*Targets!$D$2+MIN(G49/100/Targets!$B$3,1)*Targets!$D$3+MIN(T49/Targets!$B$4,1)*Targets!$D$4+MIN(R49/Targets!$B$5,1)*Targets!$D$5+MIN(N49/Targets!$B$6,1)*Targets!$D$6+MIN(Targets!$B$7/MAX(S49,0.0001),1)*Targets!$D$7)</f>
        <v>0.6720591884</v>
      </c>
    </row>
    <row r="50">
      <c r="A50" s="18">
        <v>46218.0</v>
      </c>
      <c r="B50" s="19" t="s">
        <v>78</v>
      </c>
      <c r="C50" s="19" t="s">
        <v>171</v>
      </c>
      <c r="D50" s="19" t="s">
        <v>121</v>
      </c>
      <c r="E50" s="14">
        <f t="shared" si="1"/>
        <v>16</v>
      </c>
      <c r="F50" s="19">
        <f t="shared" si="2"/>
        <v>10</v>
      </c>
      <c r="G50" s="20">
        <f t="shared" si="3"/>
        <v>0.625</v>
      </c>
      <c r="H50" s="19">
        <v>54.0</v>
      </c>
      <c r="I50" s="19">
        <v>57.0</v>
      </c>
      <c r="J50" s="19">
        <v>4.0</v>
      </c>
      <c r="K50" s="19">
        <v>1.9</v>
      </c>
      <c r="L50" s="19">
        <v>60.0</v>
      </c>
      <c r="M50" s="19">
        <v>70.0</v>
      </c>
      <c r="N50" s="19">
        <v>7.6</v>
      </c>
      <c r="O50" s="19" t="s">
        <v>143</v>
      </c>
      <c r="P50" s="19" t="s">
        <v>168</v>
      </c>
      <c r="Q50" s="20">
        <f t="shared" si="4"/>
        <v>0.625</v>
      </c>
      <c r="R50" s="20">
        <f t="shared" si="5"/>
        <v>0.9473684211</v>
      </c>
      <c r="S50" s="20">
        <f t="shared" si="6"/>
        <v>0.0701754386</v>
      </c>
      <c r="T50" s="20">
        <f t="shared" si="7"/>
        <v>0.8571428571</v>
      </c>
      <c r="U50" s="20">
        <f>IF(B50="","",MIN(Q50/Targets!$B$2,1)*Targets!$D$2+MIN(G50/100/Targets!$B$3,1)*Targets!$D$3+MIN(T50/Targets!$B$4,1)*Targets!$D$4+MIN(R50/Targets!$B$5,1)*Targets!$D$5+MIN(N50/Targets!$B$6,1)*Targets!$D$6+MIN(Targets!$B$7/MAX(S50,0.0001),1)*Targets!$D$7)</f>
        <v>0.6046638526</v>
      </c>
    </row>
    <row r="51">
      <c r="A51" s="18">
        <v>46218.0</v>
      </c>
      <c r="B51" s="19" t="s">
        <v>84</v>
      </c>
      <c r="C51" s="19" t="s">
        <v>179</v>
      </c>
      <c r="D51" s="19" t="s">
        <v>121</v>
      </c>
      <c r="E51" s="14">
        <f t="shared" si="1"/>
        <v>11</v>
      </c>
      <c r="F51" s="19">
        <f t="shared" si="2"/>
        <v>14</v>
      </c>
      <c r="G51" s="20">
        <f t="shared" si="3"/>
        <v>1.272727273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 t="s">
        <v>205</v>
      </c>
      <c r="P51" s="19" t="s">
        <v>205</v>
      </c>
      <c r="Q51" s="20">
        <f t="shared" si="4"/>
        <v>1.272727273</v>
      </c>
      <c r="R51" s="20">
        <f t="shared" si="5"/>
        <v>0</v>
      </c>
      <c r="S51" s="20">
        <f t="shared" si="6"/>
        <v>0</v>
      </c>
      <c r="T51" s="20">
        <f t="shared" si="7"/>
        <v>0</v>
      </c>
      <c r="U51" s="20">
        <f>IF(B51="","",MIN(Q51/Targets!$B$2,1)*Targets!$D$2+MIN(G51/100/Targets!$B$3,1)*Targets!$D$3+MIN(T51/Targets!$B$4,1)*Targets!$D$4+MIN(R51/Targets!$B$5,1)*Targets!$D$5+MIN(N51/Targets!$B$6,1)*Targets!$D$6+MIN(Targets!$B$7/MAX(S51,0.0001),1)*Targets!$D$7)</f>
        <v>0.3042424242</v>
      </c>
    </row>
    <row r="52">
      <c r="A52" s="18">
        <v>46218.0</v>
      </c>
      <c r="B52" s="19" t="s">
        <v>91</v>
      </c>
      <c r="C52" s="19" t="s">
        <v>188</v>
      </c>
      <c r="D52" s="19" t="s">
        <v>121</v>
      </c>
      <c r="E52" s="14">
        <f t="shared" si="1"/>
        <v>10</v>
      </c>
      <c r="F52" s="19">
        <f t="shared" si="2"/>
        <v>15</v>
      </c>
      <c r="G52" s="20">
        <f t="shared" si="3"/>
        <v>1.5</v>
      </c>
      <c r="H52" s="19">
        <v>30.0</v>
      </c>
      <c r="I52" s="19">
        <v>33.0</v>
      </c>
      <c r="J52" s="19">
        <v>2.0</v>
      </c>
      <c r="K52" s="19">
        <v>3.5</v>
      </c>
      <c r="L52" s="19">
        <v>41.0</v>
      </c>
      <c r="M52" s="19">
        <v>48.0</v>
      </c>
      <c r="N52" s="19">
        <v>7.4</v>
      </c>
      <c r="O52" s="19" t="s">
        <v>143</v>
      </c>
      <c r="P52" s="19" t="s">
        <v>168</v>
      </c>
      <c r="Q52" s="20">
        <f t="shared" si="4"/>
        <v>1.5</v>
      </c>
      <c r="R52" s="20">
        <f t="shared" si="5"/>
        <v>0.9090909091</v>
      </c>
      <c r="S52" s="20">
        <f t="shared" si="6"/>
        <v>0.06060606061</v>
      </c>
      <c r="T52" s="20">
        <f t="shared" si="7"/>
        <v>0.8541666667</v>
      </c>
      <c r="U52" s="20">
        <f>IF(B52="","",MIN(Q52/Targets!$B$2,1)*Targets!$D$2+MIN(G52/100/Targets!$B$3,1)*Targets!$D$3+MIN(T52/Targets!$B$4,1)*Targets!$D$4+MIN(R52/Targets!$B$5,1)*Targets!$D$5+MIN(N52/Targets!$B$6,1)*Targets!$D$6+MIN(Targets!$B$7/MAX(S52,0.0001),1)*Targets!$D$7)</f>
        <v>0.673401781</v>
      </c>
    </row>
    <row r="53">
      <c r="A53" s="18">
        <v>46218.0</v>
      </c>
      <c r="B53" s="19" t="s">
        <v>100</v>
      </c>
      <c r="C53" s="19" t="s">
        <v>190</v>
      </c>
      <c r="D53" s="19" t="s">
        <v>121</v>
      </c>
      <c r="E53" s="14">
        <f t="shared" si="1"/>
        <v>12</v>
      </c>
      <c r="F53" s="19">
        <f t="shared" si="2"/>
        <v>12</v>
      </c>
      <c r="G53" s="20">
        <f t="shared" si="3"/>
        <v>1</v>
      </c>
      <c r="H53" s="19">
        <v>33.0</v>
      </c>
      <c r="I53" s="19">
        <v>37.0</v>
      </c>
      <c r="J53" s="19">
        <v>2.0</v>
      </c>
      <c r="K53" s="19">
        <v>4.4</v>
      </c>
      <c r="L53" s="19">
        <v>36.0</v>
      </c>
      <c r="M53" s="19">
        <v>41.0</v>
      </c>
      <c r="N53" s="19">
        <v>6.8</v>
      </c>
      <c r="O53" s="19" t="s">
        <v>143</v>
      </c>
      <c r="P53" s="19" t="s">
        <v>168</v>
      </c>
      <c r="Q53" s="20">
        <f t="shared" si="4"/>
        <v>1</v>
      </c>
      <c r="R53" s="20">
        <f t="shared" si="5"/>
        <v>0.8918918919</v>
      </c>
      <c r="S53" s="20">
        <f t="shared" si="6"/>
        <v>0.05405405405</v>
      </c>
      <c r="T53" s="20">
        <f t="shared" si="7"/>
        <v>0.8780487805</v>
      </c>
      <c r="U53" s="20">
        <f>IF(B53="","",MIN(Q53/Targets!$B$2,1)*Targets!$D$2+MIN(G53/100/Targets!$B$3,1)*Targets!$D$3+MIN(T53/Targets!$B$4,1)*Targets!$D$4+MIN(R53/Targets!$B$5,1)*Targets!$D$5+MIN(N53/Targets!$B$6,1)*Targets!$D$6+MIN(Targets!$B$7/MAX(S53,0.0001),1)*Targets!$D$7)</f>
        <v>0.6801426895</v>
      </c>
    </row>
    <row r="54">
      <c r="A54" s="18">
        <v>46218.0</v>
      </c>
      <c r="B54" s="19" t="s">
        <v>109</v>
      </c>
      <c r="C54" s="19" t="s">
        <v>14</v>
      </c>
      <c r="D54" s="19" t="s">
        <v>121</v>
      </c>
      <c r="E54" s="14">
        <f t="shared" si="1"/>
        <v>11</v>
      </c>
      <c r="F54" s="19">
        <f t="shared" si="2"/>
        <v>15</v>
      </c>
      <c r="G54" s="20">
        <f t="shared" si="3"/>
        <v>1.363636364</v>
      </c>
      <c r="H54" s="19">
        <v>24.0</v>
      </c>
      <c r="I54" s="19">
        <v>30.0</v>
      </c>
      <c r="J54" s="19">
        <v>2.0</v>
      </c>
      <c r="K54" s="19">
        <v>6.3</v>
      </c>
      <c r="L54" s="19">
        <v>41.0</v>
      </c>
      <c r="M54" s="19">
        <v>48.0</v>
      </c>
      <c r="N54" s="19">
        <v>6.2</v>
      </c>
      <c r="O54" s="19" t="s">
        <v>143</v>
      </c>
      <c r="P54" s="19" t="s">
        <v>187</v>
      </c>
      <c r="Q54" s="20">
        <f t="shared" si="4"/>
        <v>1.363636364</v>
      </c>
      <c r="R54" s="20">
        <f t="shared" si="5"/>
        <v>0.8</v>
      </c>
      <c r="S54" s="20">
        <f t="shared" si="6"/>
        <v>0.06666666667</v>
      </c>
      <c r="T54" s="20">
        <f t="shared" si="7"/>
        <v>0.8541666667</v>
      </c>
      <c r="U54" s="20">
        <f>IF(B54="","",MIN(Q54/Targets!$B$2,1)*Targets!$D$2+MIN(G54/100/Targets!$B$3,1)*Targets!$D$3+MIN(T54/Targets!$B$4,1)*Targets!$D$4+MIN(R54/Targets!$B$5,1)*Targets!$D$5+MIN(N54/Targets!$B$6,1)*Targets!$D$6+MIN(Targets!$B$7/MAX(S54,0.0001),1)*Targets!$D$7)</f>
        <v>0.6367937837</v>
      </c>
    </row>
    <row r="55">
      <c r="A55" s="18">
        <v>46218.0</v>
      </c>
      <c r="B55" s="19" t="s">
        <v>115</v>
      </c>
      <c r="C55" s="19" t="s">
        <v>167</v>
      </c>
      <c r="D55" s="19" t="s">
        <v>121</v>
      </c>
      <c r="E55" s="14">
        <f t="shared" si="1"/>
        <v>14</v>
      </c>
      <c r="F55" s="19">
        <f t="shared" si="2"/>
        <v>13</v>
      </c>
      <c r="G55" s="20">
        <f t="shared" si="3"/>
        <v>0.9285714286</v>
      </c>
      <c r="H55" s="19">
        <v>50.0</v>
      </c>
      <c r="I55" s="19">
        <v>51.0</v>
      </c>
      <c r="J55" s="19">
        <v>1.0</v>
      </c>
      <c r="K55" s="19">
        <v>1.7</v>
      </c>
      <c r="L55" s="19">
        <v>55.0</v>
      </c>
      <c r="M55" s="19">
        <v>56.0</v>
      </c>
      <c r="N55" s="19">
        <v>7.8</v>
      </c>
      <c r="O55" s="19" t="s">
        <v>143</v>
      </c>
      <c r="P55" s="19" t="s">
        <v>178</v>
      </c>
      <c r="Q55" s="20">
        <f t="shared" si="4"/>
        <v>0.9285714286</v>
      </c>
      <c r="R55" s="20">
        <f t="shared" si="5"/>
        <v>0.9803921569</v>
      </c>
      <c r="S55" s="20">
        <f t="shared" si="6"/>
        <v>0.01960784314</v>
      </c>
      <c r="T55" s="20">
        <f t="shared" si="7"/>
        <v>0.9821428571</v>
      </c>
      <c r="U55" s="20">
        <f>IF(B55="","",MIN(Q55/Targets!$B$2,1)*Targets!$D$2+MIN(G55/100/Targets!$B$3,1)*Targets!$D$3+MIN(T55/Targets!$B$4,1)*Targets!$D$4+MIN(R55/Targets!$B$5,1)*Targets!$D$5+MIN(N55/Targets!$B$6,1)*Targets!$D$6+MIN(Targets!$B$7/MAX(S55,0.0001),1)*Targets!$D$7)</f>
        <v>0.7030952381</v>
      </c>
    </row>
    <row r="56">
      <c r="A56" s="18">
        <v>46218.0</v>
      </c>
      <c r="B56" s="19" t="s">
        <v>118</v>
      </c>
      <c r="C56" s="19" t="s">
        <v>169</v>
      </c>
      <c r="D56" s="19" t="s">
        <v>121</v>
      </c>
      <c r="E56" s="14">
        <f t="shared" si="1"/>
        <v>15</v>
      </c>
      <c r="F56" s="19">
        <f t="shared" si="2"/>
        <v>11</v>
      </c>
      <c r="G56" s="20">
        <f t="shared" si="3"/>
        <v>0.7333333333</v>
      </c>
      <c r="H56" s="19">
        <v>35.0</v>
      </c>
      <c r="I56" s="19">
        <v>38.0</v>
      </c>
      <c r="J56" s="19">
        <v>2.0</v>
      </c>
      <c r="K56" s="19">
        <v>4.2</v>
      </c>
      <c r="L56" s="19">
        <v>43.0</v>
      </c>
      <c r="M56" s="19">
        <v>49.0</v>
      </c>
      <c r="N56" s="19">
        <v>7.8</v>
      </c>
      <c r="O56" s="19" t="s">
        <v>143</v>
      </c>
      <c r="P56" s="19" t="s">
        <v>168</v>
      </c>
      <c r="Q56" s="20">
        <f t="shared" si="4"/>
        <v>0.7333333333</v>
      </c>
      <c r="R56" s="20">
        <f t="shared" si="5"/>
        <v>0.9210526316</v>
      </c>
      <c r="S56" s="20">
        <f t="shared" si="6"/>
        <v>0.05263157895</v>
      </c>
      <c r="T56" s="20">
        <f t="shared" si="7"/>
        <v>0.8775510204</v>
      </c>
      <c r="U56" s="20">
        <f>IF(B56="","",MIN(Q56/Targets!$B$2,1)*Targets!$D$2+MIN(G56/100/Targets!$B$3,1)*Targets!$D$3+MIN(T56/Targets!$B$4,1)*Targets!$D$4+MIN(R56/Targets!$B$5,1)*Targets!$D$5+MIN(N56/Targets!$B$6,1)*Targets!$D$6+MIN(Targets!$B$7/MAX(S56,0.0001),1)*Targets!$D$7)</f>
        <v>0.6520952737</v>
      </c>
    </row>
    <row r="57">
      <c r="A57" s="18">
        <v>46218.0</v>
      </c>
      <c r="B57" s="19" t="s">
        <v>123</v>
      </c>
      <c r="C57" s="19" t="s">
        <v>171</v>
      </c>
      <c r="D57" s="19" t="s">
        <v>121</v>
      </c>
      <c r="E57" s="14">
        <f t="shared" si="1"/>
        <v>7</v>
      </c>
      <c r="F57" s="19">
        <f t="shared" si="2"/>
        <v>13</v>
      </c>
      <c r="G57" s="20">
        <f t="shared" si="3"/>
        <v>1.857142857</v>
      </c>
      <c r="H57" s="19">
        <v>35.0</v>
      </c>
      <c r="I57" s="19">
        <v>42.0</v>
      </c>
      <c r="J57" s="19">
        <v>3.0</v>
      </c>
      <c r="K57" s="19">
        <v>4.8</v>
      </c>
      <c r="L57" s="19">
        <v>43.0</v>
      </c>
      <c r="M57" s="19">
        <v>49.0</v>
      </c>
      <c r="N57" s="19">
        <v>6.1</v>
      </c>
      <c r="O57" s="19" t="s">
        <v>143</v>
      </c>
      <c r="P57" s="19" t="s">
        <v>186</v>
      </c>
      <c r="Q57" s="20">
        <f t="shared" si="4"/>
        <v>1.857142857</v>
      </c>
      <c r="R57" s="20">
        <f t="shared" si="5"/>
        <v>0.8333333333</v>
      </c>
      <c r="S57" s="20">
        <f t="shared" si="6"/>
        <v>0.07142857143</v>
      </c>
      <c r="T57" s="20">
        <f t="shared" si="7"/>
        <v>0.8775510204</v>
      </c>
      <c r="U57" s="20">
        <f>IF(B57="","",MIN(Q57/Targets!$B$2,1)*Targets!$D$2+MIN(G57/100/Targets!$B$3,1)*Targets!$D$3+MIN(T57/Targets!$B$4,1)*Targets!$D$4+MIN(R57/Targets!$B$5,1)*Targets!$D$5+MIN(N57/Targets!$B$6,1)*Targets!$D$6+MIN(Targets!$B$7/MAX(S57,0.0001),1)*Targets!$D$7)</f>
        <v>0.6411707841</v>
      </c>
    </row>
    <row r="58">
      <c r="A58" s="18">
        <v>46218.0</v>
      </c>
      <c r="B58" s="19" t="s">
        <v>126</v>
      </c>
      <c r="C58" s="19" t="s">
        <v>179</v>
      </c>
      <c r="D58" s="19" t="s">
        <v>121</v>
      </c>
      <c r="E58" s="14">
        <f t="shared" si="1"/>
        <v>10</v>
      </c>
      <c r="F58" s="19">
        <f t="shared" si="2"/>
        <v>14</v>
      </c>
      <c r="G58" s="20">
        <f t="shared" si="3"/>
        <v>1.4</v>
      </c>
      <c r="H58" s="19">
        <v>26.0</v>
      </c>
      <c r="I58" s="19">
        <v>30.0</v>
      </c>
      <c r="J58" s="19">
        <v>2.0</v>
      </c>
      <c r="K58" s="19">
        <v>6.5</v>
      </c>
      <c r="L58" s="19">
        <v>19.0</v>
      </c>
      <c r="M58" s="19">
        <v>28.0</v>
      </c>
      <c r="N58" s="19">
        <v>3.7</v>
      </c>
      <c r="O58" s="19" t="s">
        <v>200</v>
      </c>
      <c r="P58" s="19" t="s">
        <v>187</v>
      </c>
      <c r="Q58" s="20">
        <f t="shared" si="4"/>
        <v>1.4</v>
      </c>
      <c r="R58" s="20">
        <f t="shared" si="5"/>
        <v>0.8666666667</v>
      </c>
      <c r="S58" s="20">
        <f t="shared" si="6"/>
        <v>0.06666666667</v>
      </c>
      <c r="T58" s="20">
        <f t="shared" si="7"/>
        <v>0.6785714286</v>
      </c>
      <c r="U58" s="20">
        <f>IF(B58="","",MIN(Q58/Targets!$B$2,1)*Targets!$D$2+MIN(G58/100/Targets!$B$3,1)*Targets!$D$3+MIN(T58/Targets!$B$4,1)*Targets!$D$4+MIN(R58/Targets!$B$5,1)*Targets!$D$5+MIN(N58/Targets!$B$6,1)*Targets!$D$6+MIN(Targets!$B$7/MAX(S58,0.0001),1)*Targets!$D$7)</f>
        <v>0.5824611529</v>
      </c>
    </row>
    <row r="59">
      <c r="A59" s="18">
        <v>46218.0</v>
      </c>
      <c r="B59" s="19" t="s">
        <v>129</v>
      </c>
      <c r="C59" s="19" t="s">
        <v>188</v>
      </c>
      <c r="D59" s="19" t="s">
        <v>121</v>
      </c>
      <c r="E59" s="14">
        <f t="shared" si="1"/>
        <v>12</v>
      </c>
      <c r="F59" s="19">
        <f t="shared" si="2"/>
        <v>10</v>
      </c>
      <c r="G59" s="20">
        <f t="shared" si="3"/>
        <v>0.8333333333</v>
      </c>
      <c r="H59" s="19">
        <v>0.0</v>
      </c>
      <c r="I59" s="19">
        <v>0.0</v>
      </c>
      <c r="J59" s="19">
        <v>0.0</v>
      </c>
      <c r="K59" s="19">
        <v>0.0</v>
      </c>
      <c r="L59" s="19">
        <v>0.0</v>
      </c>
      <c r="M59" s="19">
        <v>0.0</v>
      </c>
      <c r="N59" s="19">
        <v>0.0</v>
      </c>
      <c r="O59" s="19" t="s">
        <v>205</v>
      </c>
      <c r="P59" s="19" t="s">
        <v>205</v>
      </c>
      <c r="Q59" s="20">
        <f t="shared" si="4"/>
        <v>0.8333333333</v>
      </c>
      <c r="R59" s="20">
        <f t="shared" si="5"/>
        <v>0</v>
      </c>
      <c r="S59" s="20">
        <f t="shared" si="6"/>
        <v>0</v>
      </c>
      <c r="T59" s="20">
        <f t="shared" si="7"/>
        <v>0</v>
      </c>
      <c r="U59" s="20">
        <f>IF(B59="","",MIN(Q59/Targets!$B$2,1)*Targets!$D$2+MIN(G59/100/Targets!$B$3,1)*Targets!$D$3+MIN(T59/Targets!$B$4,1)*Targets!$D$4+MIN(R59/Targets!$B$5,1)*Targets!$D$5+MIN(N59/Targets!$B$6,1)*Targets!$D$6+MIN(Targets!$B$7/MAX(S59,0.0001),1)*Targets!$D$7)</f>
        <v>0.287962963</v>
      </c>
    </row>
    <row r="60">
      <c r="A60" s="18">
        <v>46218.0</v>
      </c>
      <c r="B60" s="19" t="s">
        <v>132</v>
      </c>
      <c r="C60" s="19" t="s">
        <v>190</v>
      </c>
      <c r="D60" s="19" t="s">
        <v>121</v>
      </c>
      <c r="E60" s="14">
        <f t="shared" si="1"/>
        <v>15</v>
      </c>
      <c r="F60" s="19">
        <f t="shared" si="2"/>
        <v>8</v>
      </c>
      <c r="G60" s="20">
        <f t="shared" si="3"/>
        <v>0.5333333333</v>
      </c>
      <c r="H60" s="19">
        <v>45.0</v>
      </c>
      <c r="I60" s="19">
        <v>45.0</v>
      </c>
      <c r="J60" s="19">
        <v>2.0</v>
      </c>
      <c r="K60" s="19">
        <v>2.5</v>
      </c>
      <c r="L60" s="19">
        <v>45.0</v>
      </c>
      <c r="M60" s="19">
        <v>47.0</v>
      </c>
      <c r="N60" s="19">
        <v>7.6</v>
      </c>
      <c r="O60" s="19" t="s">
        <v>143</v>
      </c>
      <c r="P60" s="19" t="s">
        <v>186</v>
      </c>
      <c r="Q60" s="20">
        <f t="shared" si="4"/>
        <v>0.5333333333</v>
      </c>
      <c r="R60" s="20">
        <f t="shared" si="5"/>
        <v>1</v>
      </c>
      <c r="S60" s="20">
        <f t="shared" si="6"/>
        <v>0.04444444444</v>
      </c>
      <c r="T60" s="20">
        <f t="shared" si="7"/>
        <v>0.9574468085</v>
      </c>
      <c r="U60" s="20">
        <f>IF(B60="","",MIN(Q60/Targets!$B$2,1)*Targets!$D$2+MIN(G60/100/Targets!$B$3,1)*Targets!$D$3+MIN(T60/Targets!$B$4,1)*Targets!$D$4+MIN(R60/Targets!$B$5,1)*Targets!$D$5+MIN(N60/Targets!$B$6,1)*Targets!$D$6+MIN(Targets!$B$7/MAX(S60,0.0001),1)*Targets!$D$7)</f>
        <v>0.6202962963</v>
      </c>
    </row>
    <row r="61">
      <c r="A61" s="18">
        <v>46218.0</v>
      </c>
      <c r="B61" s="19" t="s">
        <v>135</v>
      </c>
      <c r="C61" s="19" t="s">
        <v>169</v>
      </c>
      <c r="D61" s="19" t="s">
        <v>121</v>
      </c>
      <c r="E61" s="14">
        <f t="shared" si="1"/>
        <v>13</v>
      </c>
      <c r="F61" s="19">
        <f t="shared" si="2"/>
        <v>6</v>
      </c>
      <c r="G61" s="20">
        <f t="shared" si="3"/>
        <v>0.4615384615</v>
      </c>
      <c r="H61" s="19">
        <v>43.0</v>
      </c>
      <c r="I61" s="19">
        <v>44.0</v>
      </c>
      <c r="J61" s="19">
        <v>3.0</v>
      </c>
      <c r="K61" s="19">
        <v>3.0</v>
      </c>
      <c r="L61" s="19">
        <v>60.0</v>
      </c>
      <c r="M61" s="19">
        <v>65.0</v>
      </c>
      <c r="N61" s="19">
        <v>8.4</v>
      </c>
      <c r="O61" s="19" t="s">
        <v>143</v>
      </c>
      <c r="P61" s="19" t="s">
        <v>189</v>
      </c>
      <c r="Q61" s="20">
        <f t="shared" si="4"/>
        <v>0.4615384615</v>
      </c>
      <c r="R61" s="20">
        <f t="shared" si="5"/>
        <v>0.9772727273</v>
      </c>
      <c r="S61" s="20">
        <f t="shared" si="6"/>
        <v>0.06818181818</v>
      </c>
      <c r="T61" s="20">
        <f t="shared" si="7"/>
        <v>0.9230769231</v>
      </c>
      <c r="U61" s="20">
        <f>IF(B61="","",MIN(Q61/Targets!$B$2,1)*Targets!$D$2+MIN(G61/100/Targets!$B$3,1)*Targets!$D$3+MIN(T61/Targets!$B$4,1)*Targets!$D$4+MIN(R61/Targets!$B$5,1)*Targets!$D$5+MIN(N61/Targets!$B$6,1)*Targets!$D$6+MIN(Targets!$B$7/MAX(S61,0.0001),1)*Targets!$D$7)</f>
        <v>0.5774358974</v>
      </c>
    </row>
    <row r="62">
      <c r="A62" s="18">
        <v>46219.0</v>
      </c>
      <c r="B62" s="19" t="s">
        <v>10</v>
      </c>
      <c r="C62" s="19" t="s">
        <v>14</v>
      </c>
      <c r="D62" s="19" t="s">
        <v>121</v>
      </c>
      <c r="E62" s="14">
        <f t="shared" si="1"/>
        <v>14</v>
      </c>
      <c r="F62" s="19">
        <f t="shared" si="2"/>
        <v>11</v>
      </c>
      <c r="G62" s="20">
        <f t="shared" si="3"/>
        <v>0.7857142857</v>
      </c>
      <c r="H62" s="19">
        <v>38.0</v>
      </c>
      <c r="I62" s="19">
        <v>40.0</v>
      </c>
      <c r="J62" s="19">
        <v>1.0</v>
      </c>
      <c r="K62" s="19">
        <v>2.1</v>
      </c>
      <c r="L62" s="19">
        <v>52.0</v>
      </c>
      <c r="M62" s="19">
        <v>57.0</v>
      </c>
      <c r="N62" s="19">
        <v>7.5</v>
      </c>
      <c r="O62" s="19" t="s">
        <v>143</v>
      </c>
      <c r="P62" s="19" t="s">
        <v>187</v>
      </c>
      <c r="Q62" s="20">
        <f t="shared" si="4"/>
        <v>0.7857142857</v>
      </c>
      <c r="R62" s="20">
        <f t="shared" si="5"/>
        <v>0.95</v>
      </c>
      <c r="S62" s="20">
        <f t="shared" si="6"/>
        <v>0.025</v>
      </c>
      <c r="T62" s="20">
        <f t="shared" si="7"/>
        <v>0.9122807018</v>
      </c>
      <c r="U62" s="20">
        <f>IF(B62="","",MIN(Q62/Targets!$B$2,1)*Targets!$D$2+MIN(G62/100/Targets!$B$3,1)*Targets!$D$3+MIN(T62/Targets!$B$4,1)*Targets!$D$4+MIN(R62/Targets!$B$5,1)*Targets!$D$5+MIN(N62/Targets!$B$6,1)*Targets!$D$6+MIN(Targets!$B$7/MAX(S62,0.0001),1)*Targets!$D$7)</f>
        <v>0.6772222222</v>
      </c>
    </row>
    <row r="63">
      <c r="A63" s="18">
        <v>46219.0</v>
      </c>
      <c r="B63" s="19" t="s">
        <v>25</v>
      </c>
      <c r="C63" s="19" t="s">
        <v>167</v>
      </c>
      <c r="D63" s="19" t="s">
        <v>121</v>
      </c>
      <c r="E63" s="14">
        <f t="shared" si="1"/>
        <v>11</v>
      </c>
      <c r="F63" s="19">
        <f t="shared" si="2"/>
        <v>15</v>
      </c>
      <c r="G63" s="20">
        <f t="shared" si="3"/>
        <v>1.363636364</v>
      </c>
      <c r="H63" s="19">
        <v>21.0</v>
      </c>
      <c r="I63" s="19">
        <v>24.0</v>
      </c>
      <c r="J63" s="19">
        <v>2.0</v>
      </c>
      <c r="K63" s="19">
        <v>5.2</v>
      </c>
      <c r="L63" s="19">
        <v>33.0</v>
      </c>
      <c r="M63" s="19">
        <v>43.0</v>
      </c>
      <c r="N63" s="19">
        <v>7.0</v>
      </c>
      <c r="O63" s="19" t="s">
        <v>143</v>
      </c>
      <c r="P63" s="19" t="s">
        <v>144</v>
      </c>
      <c r="Q63" s="20">
        <f t="shared" si="4"/>
        <v>1.363636364</v>
      </c>
      <c r="R63" s="20">
        <f t="shared" si="5"/>
        <v>0.875</v>
      </c>
      <c r="S63" s="20">
        <f t="shared" si="6"/>
        <v>0.08333333333</v>
      </c>
      <c r="T63" s="20">
        <f t="shared" si="7"/>
        <v>0.7674418605</v>
      </c>
      <c r="U63" s="20">
        <f>IF(B63="","",MIN(Q63/Targets!$B$2,1)*Targets!$D$2+MIN(G63/100/Targets!$B$3,1)*Targets!$D$3+MIN(T63/Targets!$B$4,1)*Targets!$D$4+MIN(R63/Targets!$B$5,1)*Targets!$D$5+MIN(N63/Targets!$B$6,1)*Targets!$D$6+MIN(Targets!$B$7/MAX(S63,0.0001),1)*Targets!$D$7)</f>
        <v>0.630610326</v>
      </c>
    </row>
    <row r="64">
      <c r="A64" s="18">
        <v>46219.0</v>
      </c>
      <c r="B64" s="19" t="s">
        <v>37</v>
      </c>
      <c r="C64" s="19" t="s">
        <v>169</v>
      </c>
      <c r="D64" s="19" t="s">
        <v>121</v>
      </c>
      <c r="E64" s="14">
        <f t="shared" si="1"/>
        <v>6</v>
      </c>
      <c r="F64" s="19">
        <f t="shared" si="2"/>
        <v>6</v>
      </c>
      <c r="G64" s="20">
        <f t="shared" si="3"/>
        <v>1</v>
      </c>
      <c r="H64" s="19">
        <v>40.0</v>
      </c>
      <c r="I64" s="19">
        <v>43.0</v>
      </c>
      <c r="J64" s="19">
        <v>3.0</v>
      </c>
      <c r="K64" s="19">
        <v>3.3</v>
      </c>
      <c r="L64" s="19">
        <v>40.0</v>
      </c>
      <c r="M64" s="19">
        <v>47.0</v>
      </c>
      <c r="N64" s="19">
        <v>6.5</v>
      </c>
      <c r="O64" s="19" t="s">
        <v>143</v>
      </c>
      <c r="P64" s="19" t="s">
        <v>186</v>
      </c>
      <c r="Q64" s="20">
        <f t="shared" si="4"/>
        <v>1</v>
      </c>
      <c r="R64" s="20">
        <f t="shared" si="5"/>
        <v>0.9302325581</v>
      </c>
      <c r="S64" s="20">
        <f t="shared" si="6"/>
        <v>0.06976744186</v>
      </c>
      <c r="T64" s="20">
        <f t="shared" si="7"/>
        <v>0.8510638298</v>
      </c>
      <c r="U64" s="20">
        <f>IF(B64="","",MIN(Q64/Targets!$B$2,1)*Targets!$D$2+MIN(G64/100/Targets!$B$3,1)*Targets!$D$3+MIN(T64/Targets!$B$4,1)*Targets!$D$4+MIN(R64/Targets!$B$5,1)*Targets!$D$5+MIN(N64/Targets!$B$6,1)*Targets!$D$6+MIN(Targets!$B$7/MAX(S64,0.0001),1)*Targets!$D$7)</f>
        <v>0.6565799395</v>
      </c>
    </row>
    <row r="65">
      <c r="A65" s="18">
        <v>46219.0</v>
      </c>
      <c r="B65" s="19" t="s">
        <v>42</v>
      </c>
      <c r="C65" s="19" t="s">
        <v>171</v>
      </c>
      <c r="D65" s="19" t="s">
        <v>121</v>
      </c>
      <c r="E65" s="14">
        <f t="shared" si="1"/>
        <v>15</v>
      </c>
      <c r="F65" s="19">
        <f t="shared" si="2"/>
        <v>14</v>
      </c>
      <c r="G65" s="20">
        <f t="shared" si="3"/>
        <v>0.9333333333</v>
      </c>
      <c r="H65" s="19">
        <v>29.0</v>
      </c>
      <c r="I65" s="19">
        <v>33.0</v>
      </c>
      <c r="J65" s="19">
        <v>2.0</v>
      </c>
      <c r="K65" s="19">
        <v>4.6</v>
      </c>
      <c r="L65" s="19">
        <v>43.0</v>
      </c>
      <c r="M65" s="19">
        <v>53.0</v>
      </c>
      <c r="N65" s="19">
        <v>6.7</v>
      </c>
      <c r="O65" s="19" t="s">
        <v>143</v>
      </c>
      <c r="P65" s="19" t="s">
        <v>178</v>
      </c>
      <c r="Q65" s="20">
        <f t="shared" si="4"/>
        <v>0.9333333333</v>
      </c>
      <c r="R65" s="20">
        <f t="shared" si="5"/>
        <v>0.8787878788</v>
      </c>
      <c r="S65" s="20">
        <f t="shared" si="6"/>
        <v>0.06060606061</v>
      </c>
      <c r="T65" s="20">
        <f t="shared" si="7"/>
        <v>0.8113207547</v>
      </c>
      <c r="U65" s="20">
        <f>IF(B65="","",MIN(Q65/Targets!$B$2,1)*Targets!$D$2+MIN(G65/100/Targets!$B$3,1)*Targets!$D$3+MIN(T65/Targets!$B$4,1)*Targets!$D$4+MIN(R65/Targets!$B$5,1)*Targets!$D$5+MIN(N65/Targets!$B$6,1)*Targets!$D$6+MIN(Targets!$B$7/MAX(S65,0.0001),1)*Targets!$D$7)</f>
        <v>0.6553015035</v>
      </c>
    </row>
    <row r="66">
      <c r="A66" s="18">
        <v>46219.0</v>
      </c>
      <c r="B66" s="19" t="s">
        <v>46</v>
      </c>
      <c r="C66" s="19" t="s">
        <v>179</v>
      </c>
      <c r="D66" s="19" t="s">
        <v>121</v>
      </c>
      <c r="E66" s="14">
        <f t="shared" si="1"/>
        <v>6</v>
      </c>
      <c r="F66" s="19">
        <f t="shared" si="2"/>
        <v>6</v>
      </c>
      <c r="G66" s="20">
        <f t="shared" si="3"/>
        <v>1</v>
      </c>
      <c r="H66" s="19">
        <v>20.0</v>
      </c>
      <c r="I66" s="19">
        <v>24.0</v>
      </c>
      <c r="J66" s="19">
        <v>0.0</v>
      </c>
      <c r="K66" s="19">
        <v>5.8</v>
      </c>
      <c r="L66" s="19">
        <v>26.0</v>
      </c>
      <c r="M66" s="19">
        <v>37.0</v>
      </c>
      <c r="N66" s="19">
        <v>6.3</v>
      </c>
      <c r="O66" s="19" t="s">
        <v>143</v>
      </c>
      <c r="P66" s="19" t="s">
        <v>187</v>
      </c>
      <c r="Q66" s="20">
        <f t="shared" si="4"/>
        <v>1</v>
      </c>
      <c r="R66" s="20">
        <f t="shared" si="5"/>
        <v>0.8333333333</v>
      </c>
      <c r="S66" s="20">
        <f t="shared" si="6"/>
        <v>0</v>
      </c>
      <c r="T66" s="20">
        <f t="shared" si="7"/>
        <v>0.7027027027</v>
      </c>
      <c r="U66" s="20">
        <f>IF(B66="","",MIN(Q66/Targets!$B$2,1)*Targets!$D$2+MIN(G66/100/Targets!$B$3,1)*Targets!$D$3+MIN(T66/Targets!$B$4,1)*Targets!$D$4+MIN(R66/Targets!$B$5,1)*Targets!$D$5+MIN(N66/Targets!$B$6,1)*Targets!$D$6+MIN(Targets!$B$7/MAX(S66,0.0001),1)*Targets!$D$7)</f>
        <v>0.6420293978</v>
      </c>
    </row>
    <row r="67">
      <c r="A67" s="18">
        <v>46219.0</v>
      </c>
      <c r="B67" s="19" t="s">
        <v>53</v>
      </c>
      <c r="C67" s="19" t="s">
        <v>14</v>
      </c>
      <c r="D67" s="19" t="s">
        <v>121</v>
      </c>
      <c r="E67" s="14">
        <f t="shared" si="1"/>
        <v>8</v>
      </c>
      <c r="F67" s="19">
        <f t="shared" si="2"/>
        <v>6</v>
      </c>
      <c r="G67" s="20">
        <f t="shared" si="3"/>
        <v>0.75</v>
      </c>
      <c r="H67" s="19">
        <v>46.0</v>
      </c>
      <c r="I67" s="19">
        <v>48.0</v>
      </c>
      <c r="J67" s="19">
        <v>3.0</v>
      </c>
      <c r="K67" s="19">
        <v>1.9</v>
      </c>
      <c r="L67" s="19">
        <v>54.0</v>
      </c>
      <c r="M67" s="19">
        <v>57.0</v>
      </c>
      <c r="N67" s="19">
        <v>8.5</v>
      </c>
      <c r="O67" s="19" t="s">
        <v>143</v>
      </c>
      <c r="P67" s="19" t="s">
        <v>144</v>
      </c>
      <c r="Q67" s="20">
        <f t="shared" si="4"/>
        <v>0.75</v>
      </c>
      <c r="R67" s="20">
        <f t="shared" si="5"/>
        <v>0.9583333333</v>
      </c>
      <c r="S67" s="20">
        <f t="shared" si="6"/>
        <v>0.0625</v>
      </c>
      <c r="T67" s="20">
        <f t="shared" si="7"/>
        <v>0.9473684211</v>
      </c>
      <c r="U67" s="20">
        <f>IF(B67="","",MIN(Q67/Targets!$B$2,1)*Targets!$D$2+MIN(G67/100/Targets!$B$3,1)*Targets!$D$3+MIN(T67/Targets!$B$4,1)*Targets!$D$4+MIN(R67/Targets!$B$5,1)*Targets!$D$5+MIN(N67/Targets!$B$6,1)*Targets!$D$6+MIN(Targets!$B$7/MAX(S67,0.0001),1)*Targets!$D$7)</f>
        <v>0.6491666667</v>
      </c>
    </row>
    <row r="68">
      <c r="A68" s="18">
        <v>46219.0</v>
      </c>
      <c r="B68" s="19" t="s">
        <v>65</v>
      </c>
      <c r="C68" s="19" t="s">
        <v>167</v>
      </c>
      <c r="D68" s="19" t="s">
        <v>121</v>
      </c>
      <c r="E68" s="14">
        <f t="shared" si="1"/>
        <v>14</v>
      </c>
      <c r="F68" s="19">
        <f t="shared" si="2"/>
        <v>11</v>
      </c>
      <c r="G68" s="20">
        <f t="shared" si="3"/>
        <v>0.7857142857</v>
      </c>
      <c r="H68" s="19">
        <v>29.0</v>
      </c>
      <c r="I68" s="19">
        <v>33.0</v>
      </c>
      <c r="J68" s="19">
        <v>2.0</v>
      </c>
      <c r="K68" s="19">
        <v>2.7</v>
      </c>
      <c r="L68" s="19">
        <v>43.0</v>
      </c>
      <c r="M68" s="19">
        <v>51.0</v>
      </c>
      <c r="N68" s="19">
        <v>6.7</v>
      </c>
      <c r="O68" s="19" t="s">
        <v>143</v>
      </c>
      <c r="P68" s="19" t="s">
        <v>191</v>
      </c>
      <c r="Q68" s="20">
        <f t="shared" si="4"/>
        <v>0.7857142857</v>
      </c>
      <c r="R68" s="20">
        <f t="shared" si="5"/>
        <v>0.8787878788</v>
      </c>
      <c r="S68" s="20">
        <f t="shared" si="6"/>
        <v>0.06060606061</v>
      </c>
      <c r="T68" s="20">
        <f t="shared" si="7"/>
        <v>0.8431372549</v>
      </c>
      <c r="U68" s="20">
        <f>IF(B68="","",MIN(Q68/Targets!$B$2,1)*Targets!$D$2+MIN(G68/100/Targets!$B$3,1)*Targets!$D$3+MIN(T68/Targets!$B$4,1)*Targets!$D$4+MIN(R68/Targets!$B$5,1)*Targets!$D$5+MIN(N68/Targets!$B$6,1)*Targets!$D$6+MIN(Targets!$B$7/MAX(S68,0.0001),1)*Targets!$D$7)</f>
        <v>0.6347153646</v>
      </c>
    </row>
    <row r="69">
      <c r="A69" s="18">
        <v>46219.0</v>
      </c>
      <c r="B69" s="19" t="s">
        <v>73</v>
      </c>
      <c r="C69" s="19" t="s">
        <v>169</v>
      </c>
      <c r="D69" s="19" t="s">
        <v>121</v>
      </c>
      <c r="E69" s="14">
        <f t="shared" si="1"/>
        <v>9</v>
      </c>
      <c r="F69" s="19">
        <f t="shared" si="2"/>
        <v>9</v>
      </c>
      <c r="G69" s="20">
        <f t="shared" si="3"/>
        <v>1</v>
      </c>
      <c r="H69" s="19">
        <v>36.0</v>
      </c>
      <c r="I69" s="19">
        <v>41.0</v>
      </c>
      <c r="J69" s="19">
        <v>3.0</v>
      </c>
      <c r="K69" s="19">
        <v>4.1</v>
      </c>
      <c r="L69" s="19">
        <v>46.0</v>
      </c>
      <c r="M69" s="19">
        <v>50.0</v>
      </c>
      <c r="N69" s="19">
        <v>6.4</v>
      </c>
      <c r="O69" s="19" t="s">
        <v>143</v>
      </c>
      <c r="P69" s="19" t="s">
        <v>189</v>
      </c>
      <c r="Q69" s="20">
        <f t="shared" si="4"/>
        <v>1</v>
      </c>
      <c r="R69" s="20">
        <f t="shared" si="5"/>
        <v>0.8780487805</v>
      </c>
      <c r="S69" s="20">
        <f t="shared" si="6"/>
        <v>0.07317073171</v>
      </c>
      <c r="T69" s="20">
        <f t="shared" si="7"/>
        <v>0.92</v>
      </c>
      <c r="U69" s="20">
        <f>IF(B69="","",MIN(Q69/Targets!$B$2,1)*Targets!$D$2+MIN(G69/100/Targets!$B$3,1)*Targets!$D$3+MIN(T69/Targets!$B$4,1)*Targets!$D$4+MIN(R69/Targets!$B$5,1)*Targets!$D$5+MIN(N69/Targets!$B$6,1)*Targets!$D$6+MIN(Targets!$B$7/MAX(S69,0.0001),1)*Targets!$D$7)</f>
        <v>0.6517345192</v>
      </c>
    </row>
    <row r="70">
      <c r="A70" s="18">
        <v>46219.0</v>
      </c>
      <c r="B70" s="19" t="s">
        <v>78</v>
      </c>
      <c r="C70" s="19" t="s">
        <v>171</v>
      </c>
      <c r="D70" s="19" t="s">
        <v>121</v>
      </c>
      <c r="E70" s="14">
        <f t="shared" si="1"/>
        <v>15</v>
      </c>
      <c r="F70" s="19">
        <f t="shared" si="2"/>
        <v>6</v>
      </c>
      <c r="G70" s="20">
        <f t="shared" si="3"/>
        <v>0.4</v>
      </c>
      <c r="H70" s="19">
        <v>41.0</v>
      </c>
      <c r="I70" s="19">
        <v>43.0</v>
      </c>
      <c r="J70" s="19">
        <v>1.0</v>
      </c>
      <c r="K70" s="19">
        <v>2.9</v>
      </c>
      <c r="L70" s="19">
        <v>52.0</v>
      </c>
      <c r="M70" s="19">
        <v>58.0</v>
      </c>
      <c r="N70" s="19">
        <v>8.2</v>
      </c>
      <c r="O70" s="19" t="s">
        <v>143</v>
      </c>
      <c r="P70" s="19" t="s">
        <v>168</v>
      </c>
      <c r="Q70" s="20">
        <f t="shared" si="4"/>
        <v>0.4</v>
      </c>
      <c r="R70" s="20">
        <f t="shared" si="5"/>
        <v>0.9534883721</v>
      </c>
      <c r="S70" s="20">
        <f t="shared" si="6"/>
        <v>0.02325581395</v>
      </c>
      <c r="T70" s="20">
        <f t="shared" si="7"/>
        <v>0.8965517241</v>
      </c>
      <c r="U70" s="20">
        <f>IF(B70="","",MIN(Q70/Targets!$B$2,1)*Targets!$D$2+MIN(G70/100/Targets!$B$3,1)*Targets!$D$3+MIN(T70/Targets!$B$4,1)*Targets!$D$4+MIN(R70/Targets!$B$5,1)*Targets!$D$5+MIN(N70/Targets!$B$6,1)*Targets!$D$6+MIN(Targets!$B$7/MAX(S70,0.0001),1)*Targets!$D$7)</f>
        <v>0.5896475096</v>
      </c>
    </row>
    <row r="71">
      <c r="A71" s="18">
        <v>46219.0</v>
      </c>
      <c r="B71" s="19" t="s">
        <v>84</v>
      </c>
      <c r="C71" s="19" t="s">
        <v>179</v>
      </c>
      <c r="D71" s="19" t="s">
        <v>121</v>
      </c>
      <c r="E71" s="14">
        <f t="shared" si="1"/>
        <v>10</v>
      </c>
      <c r="F71" s="19">
        <f t="shared" si="2"/>
        <v>11</v>
      </c>
      <c r="G71" s="20">
        <f t="shared" si="3"/>
        <v>1.1</v>
      </c>
      <c r="H71" s="19">
        <v>49.0</v>
      </c>
      <c r="I71" s="19">
        <v>53.0</v>
      </c>
      <c r="J71" s="19">
        <v>2.0</v>
      </c>
      <c r="K71" s="19">
        <v>3.0</v>
      </c>
      <c r="L71" s="19">
        <v>59.0</v>
      </c>
      <c r="M71" s="19">
        <v>65.0</v>
      </c>
      <c r="N71" s="19">
        <v>7.7</v>
      </c>
      <c r="O71" s="19" t="s">
        <v>143</v>
      </c>
      <c r="P71" s="19" t="s">
        <v>186</v>
      </c>
      <c r="Q71" s="20">
        <f t="shared" si="4"/>
        <v>1.1</v>
      </c>
      <c r="R71" s="20">
        <f t="shared" si="5"/>
        <v>0.9245283019</v>
      </c>
      <c r="S71" s="20">
        <f t="shared" si="6"/>
        <v>0.03773584906</v>
      </c>
      <c r="T71" s="20">
        <f t="shared" si="7"/>
        <v>0.9076923077</v>
      </c>
      <c r="U71" s="20">
        <f>IF(B71="","",MIN(Q71/Targets!$B$2,1)*Targets!$D$2+MIN(G71/100/Targets!$B$3,1)*Targets!$D$3+MIN(T71/Targets!$B$4,1)*Targets!$D$4+MIN(R71/Targets!$B$5,1)*Targets!$D$5+MIN(N71/Targets!$B$6,1)*Targets!$D$6+MIN(Targets!$B$7/MAX(S71,0.0001),1)*Targets!$D$7)</f>
        <v>0.6996448196</v>
      </c>
    </row>
    <row r="72">
      <c r="A72" s="18">
        <v>46219.0</v>
      </c>
      <c r="B72" s="19" t="s">
        <v>91</v>
      </c>
      <c r="C72" s="19" t="s">
        <v>188</v>
      </c>
      <c r="D72" s="19" t="s">
        <v>121</v>
      </c>
      <c r="E72" s="14">
        <f t="shared" si="1"/>
        <v>8</v>
      </c>
      <c r="F72" s="19">
        <f t="shared" si="2"/>
        <v>9</v>
      </c>
      <c r="G72" s="20">
        <f t="shared" si="3"/>
        <v>1.125</v>
      </c>
      <c r="H72" s="19">
        <v>51.0</v>
      </c>
      <c r="I72" s="19">
        <v>51.0</v>
      </c>
      <c r="J72" s="19">
        <v>2.0</v>
      </c>
      <c r="K72" s="19">
        <v>2.0</v>
      </c>
      <c r="L72" s="19">
        <v>64.0</v>
      </c>
      <c r="M72" s="19">
        <v>67.0</v>
      </c>
      <c r="N72" s="19">
        <v>7.3</v>
      </c>
      <c r="O72" s="19" t="s">
        <v>143</v>
      </c>
      <c r="P72" s="19" t="s">
        <v>178</v>
      </c>
      <c r="Q72" s="20">
        <f t="shared" si="4"/>
        <v>1.125</v>
      </c>
      <c r="R72" s="20">
        <f t="shared" si="5"/>
        <v>1</v>
      </c>
      <c r="S72" s="20">
        <f t="shared" si="6"/>
        <v>0.03921568627</v>
      </c>
      <c r="T72" s="20">
        <f t="shared" si="7"/>
        <v>0.9552238806</v>
      </c>
      <c r="U72" s="20">
        <f>IF(B72="","",MIN(Q72/Targets!$B$2,1)*Targets!$D$2+MIN(G72/100/Targets!$B$3,1)*Targets!$D$3+MIN(T72/Targets!$B$4,1)*Targets!$D$4+MIN(R72/Targets!$B$5,1)*Targets!$D$5+MIN(N72/Targets!$B$6,1)*Targets!$D$6+MIN(Targets!$B$7/MAX(S72,0.0001),1)*Targets!$D$7)</f>
        <v>0.70375</v>
      </c>
    </row>
    <row r="73">
      <c r="A73" s="18">
        <v>46219.0</v>
      </c>
      <c r="B73" s="19" t="s">
        <v>100</v>
      </c>
      <c r="C73" s="19" t="s">
        <v>190</v>
      </c>
      <c r="D73" s="19" t="s">
        <v>121</v>
      </c>
      <c r="E73" s="14">
        <f t="shared" si="1"/>
        <v>10</v>
      </c>
      <c r="F73" s="19">
        <f t="shared" si="2"/>
        <v>7</v>
      </c>
      <c r="G73" s="20">
        <f t="shared" si="3"/>
        <v>0.7</v>
      </c>
      <c r="H73" s="19">
        <v>32.0</v>
      </c>
      <c r="I73" s="19">
        <v>34.0</v>
      </c>
      <c r="J73" s="19">
        <v>1.0</v>
      </c>
      <c r="K73" s="19">
        <v>3.6</v>
      </c>
      <c r="L73" s="19">
        <v>35.0</v>
      </c>
      <c r="M73" s="19">
        <v>43.0</v>
      </c>
      <c r="N73" s="19">
        <v>8.0</v>
      </c>
      <c r="O73" s="19" t="s">
        <v>143</v>
      </c>
      <c r="P73" s="19" t="s">
        <v>189</v>
      </c>
      <c r="Q73" s="20">
        <f t="shared" si="4"/>
        <v>0.7</v>
      </c>
      <c r="R73" s="20">
        <f t="shared" si="5"/>
        <v>0.9411764706</v>
      </c>
      <c r="S73" s="20">
        <f t="shared" si="6"/>
        <v>0.02941176471</v>
      </c>
      <c r="T73" s="20">
        <f t="shared" si="7"/>
        <v>0.8139534884</v>
      </c>
      <c r="U73" s="20">
        <f>IF(B73="","",MIN(Q73/Targets!$B$2,1)*Targets!$D$2+MIN(G73/100/Targets!$B$3,1)*Targets!$D$3+MIN(T73/Targets!$B$4,1)*Targets!$D$4+MIN(R73/Targets!$B$5,1)*Targets!$D$5+MIN(N73/Targets!$B$6,1)*Targets!$D$6+MIN(Targets!$B$7/MAX(S73,0.0001),1)*Targets!$D$7)</f>
        <v>0.6421546148</v>
      </c>
    </row>
    <row r="74">
      <c r="A74" s="18">
        <v>46219.0</v>
      </c>
      <c r="B74" s="19" t="s">
        <v>109</v>
      </c>
      <c r="C74" s="19" t="s">
        <v>14</v>
      </c>
      <c r="D74" s="19" t="s">
        <v>121</v>
      </c>
      <c r="E74" s="14">
        <f t="shared" si="1"/>
        <v>16</v>
      </c>
      <c r="F74" s="19">
        <f t="shared" si="2"/>
        <v>7</v>
      </c>
      <c r="G74" s="20">
        <f t="shared" si="3"/>
        <v>0.4375</v>
      </c>
      <c r="H74" s="19">
        <v>49.0</v>
      </c>
      <c r="I74" s="19">
        <v>50.0</v>
      </c>
      <c r="J74" s="19">
        <v>1.0</v>
      </c>
      <c r="K74" s="19">
        <v>2.7</v>
      </c>
      <c r="L74" s="19">
        <v>59.0</v>
      </c>
      <c r="M74" s="19">
        <v>62.0</v>
      </c>
      <c r="N74" s="19">
        <v>7.8</v>
      </c>
      <c r="O74" s="19" t="s">
        <v>143</v>
      </c>
      <c r="P74" s="19" t="s">
        <v>187</v>
      </c>
      <c r="Q74" s="20">
        <f t="shared" si="4"/>
        <v>0.4375</v>
      </c>
      <c r="R74" s="20">
        <f t="shared" si="5"/>
        <v>0.98</v>
      </c>
      <c r="S74" s="20">
        <f t="shared" si="6"/>
        <v>0.02</v>
      </c>
      <c r="T74" s="20">
        <f t="shared" si="7"/>
        <v>0.9516129032</v>
      </c>
      <c r="U74" s="20">
        <f>IF(B74="","",MIN(Q74/Targets!$B$2,1)*Targets!$D$2+MIN(G74/100/Targets!$B$3,1)*Targets!$D$3+MIN(T74/Targets!$B$4,1)*Targets!$D$4+MIN(R74/Targets!$B$5,1)*Targets!$D$5+MIN(N74/Targets!$B$6,1)*Targets!$D$6+MIN(Targets!$B$7/MAX(S74,0.0001),1)*Targets!$D$7)</f>
        <v>0.5986805556</v>
      </c>
    </row>
    <row r="75">
      <c r="A75" s="18">
        <v>46219.0</v>
      </c>
      <c r="B75" s="19" t="s">
        <v>115</v>
      </c>
      <c r="C75" s="19" t="s">
        <v>167</v>
      </c>
      <c r="D75" s="19" t="s">
        <v>121</v>
      </c>
      <c r="E75" s="14">
        <f t="shared" si="1"/>
        <v>15</v>
      </c>
      <c r="F75" s="19">
        <f t="shared" si="2"/>
        <v>6</v>
      </c>
      <c r="G75" s="20">
        <f t="shared" si="3"/>
        <v>0.4</v>
      </c>
      <c r="H75" s="19">
        <v>46.0</v>
      </c>
      <c r="I75" s="19">
        <v>48.0</v>
      </c>
      <c r="J75" s="19">
        <v>1.0</v>
      </c>
      <c r="K75" s="19">
        <v>1.7</v>
      </c>
      <c r="L75" s="19">
        <v>47.0</v>
      </c>
      <c r="M75" s="19">
        <v>50.0</v>
      </c>
      <c r="N75" s="19">
        <v>7.8</v>
      </c>
      <c r="O75" s="19" t="s">
        <v>143</v>
      </c>
      <c r="P75" s="19" t="s">
        <v>187</v>
      </c>
      <c r="Q75" s="20">
        <f t="shared" si="4"/>
        <v>0.4</v>
      </c>
      <c r="R75" s="20">
        <f t="shared" si="5"/>
        <v>0.9583333333</v>
      </c>
      <c r="S75" s="20">
        <f t="shared" si="6"/>
        <v>0.02083333333</v>
      </c>
      <c r="T75" s="20">
        <f t="shared" si="7"/>
        <v>0.94</v>
      </c>
      <c r="U75" s="20">
        <f>IF(B75="","",MIN(Q75/Targets!$B$2,1)*Targets!$D$2+MIN(G75/100/Targets!$B$3,1)*Targets!$D$3+MIN(T75/Targets!$B$4,1)*Targets!$D$4+MIN(R75/Targets!$B$5,1)*Targets!$D$5+MIN(N75/Targets!$B$6,1)*Targets!$D$6+MIN(Targets!$B$7/MAX(S75,0.0001),1)*Targets!$D$7)</f>
        <v>0.5902222222</v>
      </c>
    </row>
    <row r="76">
      <c r="A76" s="18">
        <v>46219.0</v>
      </c>
      <c r="B76" s="19" t="s">
        <v>118</v>
      </c>
      <c r="C76" s="19" t="s">
        <v>169</v>
      </c>
      <c r="D76" s="19" t="s">
        <v>121</v>
      </c>
      <c r="E76" s="14">
        <f t="shared" si="1"/>
        <v>9</v>
      </c>
      <c r="F76" s="19">
        <f t="shared" si="2"/>
        <v>6</v>
      </c>
      <c r="G76" s="20">
        <f t="shared" si="3"/>
        <v>0.6666666667</v>
      </c>
      <c r="H76" s="19">
        <v>43.0</v>
      </c>
      <c r="I76" s="19">
        <v>47.0</v>
      </c>
      <c r="J76" s="19">
        <v>3.0</v>
      </c>
      <c r="K76" s="19">
        <v>4.1</v>
      </c>
      <c r="L76" s="19">
        <v>49.0</v>
      </c>
      <c r="M76" s="19">
        <v>57.0</v>
      </c>
      <c r="N76" s="19">
        <v>7.0</v>
      </c>
      <c r="O76" s="19" t="s">
        <v>143</v>
      </c>
      <c r="P76" s="19" t="s">
        <v>191</v>
      </c>
      <c r="Q76" s="20">
        <f t="shared" si="4"/>
        <v>0.6666666667</v>
      </c>
      <c r="R76" s="20">
        <f t="shared" si="5"/>
        <v>0.914893617</v>
      </c>
      <c r="S76" s="20">
        <f t="shared" si="6"/>
        <v>0.06382978723</v>
      </c>
      <c r="T76" s="20">
        <f t="shared" si="7"/>
        <v>0.8596491228</v>
      </c>
      <c r="U76" s="20">
        <f>IF(B76="","",MIN(Q76/Targets!$B$2,1)*Targets!$D$2+MIN(G76/100/Targets!$B$3,1)*Targets!$D$3+MIN(T76/Targets!$B$4,1)*Targets!$D$4+MIN(R76/Targets!$B$5,1)*Targets!$D$5+MIN(N76/Targets!$B$6,1)*Targets!$D$6+MIN(Targets!$B$7/MAX(S76,0.0001),1)*Targets!$D$7)</f>
        <v>0.6164354444</v>
      </c>
    </row>
    <row r="77">
      <c r="A77" s="18">
        <v>46219.0</v>
      </c>
      <c r="B77" s="19" t="s">
        <v>123</v>
      </c>
      <c r="C77" s="19" t="s">
        <v>171</v>
      </c>
      <c r="D77" s="19" t="s">
        <v>121</v>
      </c>
      <c r="E77" s="14">
        <f t="shared" si="1"/>
        <v>14</v>
      </c>
      <c r="F77" s="19">
        <f t="shared" si="2"/>
        <v>13</v>
      </c>
      <c r="G77" s="20">
        <f t="shared" si="3"/>
        <v>0.9285714286</v>
      </c>
      <c r="H77" s="19">
        <v>38.0</v>
      </c>
      <c r="I77" s="19">
        <v>43.0</v>
      </c>
      <c r="J77" s="19">
        <v>1.0</v>
      </c>
      <c r="K77" s="19">
        <v>3.0</v>
      </c>
      <c r="L77" s="19">
        <v>51.0</v>
      </c>
      <c r="M77" s="19">
        <v>54.0</v>
      </c>
      <c r="N77" s="19">
        <v>6.8</v>
      </c>
      <c r="O77" s="19" t="s">
        <v>143</v>
      </c>
      <c r="P77" s="19" t="s">
        <v>168</v>
      </c>
      <c r="Q77" s="20">
        <f t="shared" si="4"/>
        <v>0.9285714286</v>
      </c>
      <c r="R77" s="20">
        <f t="shared" si="5"/>
        <v>0.8837209302</v>
      </c>
      <c r="S77" s="20">
        <f t="shared" si="6"/>
        <v>0.02325581395</v>
      </c>
      <c r="T77" s="20">
        <f t="shared" si="7"/>
        <v>0.9444444444</v>
      </c>
      <c r="U77" s="20">
        <f>IF(B77="","",MIN(Q77/Targets!$B$2,1)*Targets!$D$2+MIN(G77/100/Targets!$B$3,1)*Targets!$D$3+MIN(T77/Targets!$B$4,1)*Targets!$D$4+MIN(R77/Targets!$B$5,1)*Targets!$D$5+MIN(N77/Targets!$B$6,1)*Targets!$D$6+MIN(Targets!$B$7/MAX(S77,0.0001),1)*Targets!$D$7)</f>
        <v>0.689772979</v>
      </c>
    </row>
    <row r="78">
      <c r="A78" s="18">
        <v>46219.0</v>
      </c>
      <c r="B78" s="19" t="s">
        <v>126</v>
      </c>
      <c r="C78" s="19" t="s">
        <v>179</v>
      </c>
      <c r="D78" s="19" t="s">
        <v>121</v>
      </c>
      <c r="E78" s="14">
        <f t="shared" si="1"/>
        <v>14</v>
      </c>
      <c r="F78" s="19">
        <f t="shared" si="2"/>
        <v>15</v>
      </c>
      <c r="G78" s="20">
        <f t="shared" si="3"/>
        <v>1.071428571</v>
      </c>
      <c r="H78" s="19">
        <v>47.0</v>
      </c>
      <c r="I78" s="19">
        <v>52.0</v>
      </c>
      <c r="J78" s="19">
        <v>2.0</v>
      </c>
      <c r="K78" s="19">
        <v>4.2</v>
      </c>
      <c r="L78" s="19">
        <v>49.0</v>
      </c>
      <c r="M78" s="19">
        <v>57.0</v>
      </c>
      <c r="N78" s="19">
        <v>7.0</v>
      </c>
      <c r="O78" s="19" t="s">
        <v>143</v>
      </c>
      <c r="P78" s="19" t="s">
        <v>187</v>
      </c>
      <c r="Q78" s="20">
        <f t="shared" si="4"/>
        <v>1.071428571</v>
      </c>
      <c r="R78" s="20">
        <f t="shared" si="5"/>
        <v>0.9038461538</v>
      </c>
      <c r="S78" s="20">
        <f t="shared" si="6"/>
        <v>0.03846153846</v>
      </c>
      <c r="T78" s="20">
        <f t="shared" si="7"/>
        <v>0.8596491228</v>
      </c>
      <c r="U78" s="20">
        <f>IF(B78="","",MIN(Q78/Targets!$B$2,1)*Targets!$D$2+MIN(G78/100/Targets!$B$3,1)*Targets!$D$3+MIN(T78/Targets!$B$4,1)*Targets!$D$4+MIN(R78/Targets!$B$5,1)*Targets!$D$5+MIN(N78/Targets!$B$6,1)*Targets!$D$6+MIN(Targets!$B$7/MAX(S78,0.0001),1)*Targets!$D$7)</f>
        <v>0.689558833</v>
      </c>
    </row>
    <row r="79">
      <c r="A79" s="18">
        <v>46219.0</v>
      </c>
      <c r="B79" s="19" t="s">
        <v>129</v>
      </c>
      <c r="C79" s="19" t="s">
        <v>188</v>
      </c>
      <c r="D79" s="19" t="s">
        <v>121</v>
      </c>
      <c r="E79" s="14">
        <f t="shared" si="1"/>
        <v>16</v>
      </c>
      <c r="F79" s="19">
        <f t="shared" si="2"/>
        <v>14</v>
      </c>
      <c r="G79" s="20">
        <f t="shared" si="3"/>
        <v>0.875</v>
      </c>
      <c r="H79" s="19">
        <v>35.0</v>
      </c>
      <c r="I79" s="19">
        <v>39.0</v>
      </c>
      <c r="J79" s="19">
        <v>2.0</v>
      </c>
      <c r="K79" s="19">
        <v>2.7</v>
      </c>
      <c r="L79" s="19">
        <v>46.0</v>
      </c>
      <c r="M79" s="19">
        <v>49.0</v>
      </c>
      <c r="N79" s="19">
        <v>7.2</v>
      </c>
      <c r="O79" s="19" t="s">
        <v>143</v>
      </c>
      <c r="P79" s="19" t="s">
        <v>187</v>
      </c>
      <c r="Q79" s="20">
        <f t="shared" si="4"/>
        <v>0.875</v>
      </c>
      <c r="R79" s="20">
        <f t="shared" si="5"/>
        <v>0.8974358974</v>
      </c>
      <c r="S79" s="20">
        <f t="shared" si="6"/>
        <v>0.05128205128</v>
      </c>
      <c r="T79" s="20">
        <f t="shared" si="7"/>
        <v>0.9387755102</v>
      </c>
      <c r="U79" s="20">
        <f>IF(B79="","",MIN(Q79/Targets!$B$2,1)*Targets!$D$2+MIN(G79/100/Targets!$B$3,1)*Targets!$D$3+MIN(T79/Targets!$B$4,1)*Targets!$D$4+MIN(R79/Targets!$B$5,1)*Targets!$D$5+MIN(N79/Targets!$B$6,1)*Targets!$D$6+MIN(Targets!$B$7/MAX(S79,0.0001),1)*Targets!$D$7)</f>
        <v>0.686561516</v>
      </c>
    </row>
    <row r="80">
      <c r="A80" s="18">
        <v>46219.0</v>
      </c>
      <c r="B80" s="19" t="s">
        <v>132</v>
      </c>
      <c r="C80" s="19" t="s">
        <v>190</v>
      </c>
      <c r="D80" s="19" t="s">
        <v>121</v>
      </c>
      <c r="E80" s="14">
        <f t="shared" si="1"/>
        <v>7</v>
      </c>
      <c r="F80" s="19">
        <f t="shared" si="2"/>
        <v>8</v>
      </c>
      <c r="G80" s="20">
        <f t="shared" si="3"/>
        <v>1.142857143</v>
      </c>
      <c r="H80" s="19">
        <v>17.0</v>
      </c>
      <c r="I80" s="19">
        <v>21.0</v>
      </c>
      <c r="J80" s="19">
        <v>0.0</v>
      </c>
      <c r="K80" s="19">
        <v>6.3</v>
      </c>
      <c r="L80" s="19">
        <v>28.0</v>
      </c>
      <c r="M80" s="19">
        <v>46.0</v>
      </c>
      <c r="N80" s="19">
        <v>6.7</v>
      </c>
      <c r="O80" s="19" t="s">
        <v>143</v>
      </c>
      <c r="P80" s="19" t="s">
        <v>189</v>
      </c>
      <c r="Q80" s="20">
        <f t="shared" si="4"/>
        <v>1.142857143</v>
      </c>
      <c r="R80" s="20">
        <f t="shared" si="5"/>
        <v>0.8095238095</v>
      </c>
      <c r="S80" s="20">
        <f t="shared" si="6"/>
        <v>0</v>
      </c>
      <c r="T80" s="20">
        <f t="shared" si="7"/>
        <v>0.6086956522</v>
      </c>
      <c r="U80" s="20">
        <f>IF(B80="","",MIN(Q80/Targets!$B$2,1)*Targets!$D$2+MIN(G80/100/Targets!$B$3,1)*Targets!$D$3+MIN(T80/Targets!$B$4,1)*Targets!$D$4+MIN(R80/Targets!$B$5,1)*Targets!$D$5+MIN(N80/Targets!$B$6,1)*Targets!$D$6+MIN(Targets!$B$7/MAX(S80,0.0001),1)*Targets!$D$7)</f>
        <v>0.6287926338</v>
      </c>
    </row>
    <row r="81">
      <c r="A81" s="18">
        <v>46219.0</v>
      </c>
      <c r="B81" s="19" t="s">
        <v>135</v>
      </c>
      <c r="C81" s="19" t="s">
        <v>169</v>
      </c>
      <c r="D81" s="19" t="s">
        <v>121</v>
      </c>
      <c r="E81" s="14">
        <f t="shared" si="1"/>
        <v>15</v>
      </c>
      <c r="F81" s="19">
        <f t="shared" si="2"/>
        <v>8</v>
      </c>
      <c r="G81" s="20">
        <f t="shared" si="3"/>
        <v>0.5333333333</v>
      </c>
      <c r="H81" s="19">
        <v>30.0</v>
      </c>
      <c r="I81" s="19">
        <v>34.0</v>
      </c>
      <c r="J81" s="19">
        <v>2.0</v>
      </c>
      <c r="K81" s="19">
        <v>4.1</v>
      </c>
      <c r="L81" s="19">
        <v>48.0</v>
      </c>
      <c r="M81" s="19">
        <v>57.0</v>
      </c>
      <c r="N81" s="19">
        <v>7.5</v>
      </c>
      <c r="O81" s="19" t="s">
        <v>143</v>
      </c>
      <c r="P81" s="19" t="s">
        <v>144</v>
      </c>
      <c r="Q81" s="20">
        <f t="shared" si="4"/>
        <v>0.5333333333</v>
      </c>
      <c r="R81" s="20">
        <f t="shared" si="5"/>
        <v>0.8823529412</v>
      </c>
      <c r="S81" s="20">
        <f t="shared" si="6"/>
        <v>0.05882352941</v>
      </c>
      <c r="T81" s="20">
        <f t="shared" si="7"/>
        <v>0.8421052632</v>
      </c>
      <c r="U81" s="20">
        <f>IF(B81="","",MIN(Q81/Targets!$B$2,1)*Targets!$D$2+MIN(G81/100/Targets!$B$3,1)*Targets!$D$3+MIN(T81/Targets!$B$4,1)*Targets!$D$4+MIN(R81/Targets!$B$5,1)*Targets!$D$5+MIN(N81/Targets!$B$6,1)*Targets!$D$6+MIN(Targets!$B$7/MAX(S81,0.0001),1)*Targets!$D$7)</f>
        <v>0.5849660589</v>
      </c>
    </row>
    <row r="82">
      <c r="A82" s="18">
        <v>46220.0</v>
      </c>
      <c r="B82" s="19" t="s">
        <v>10</v>
      </c>
      <c r="C82" s="19" t="s">
        <v>14</v>
      </c>
      <c r="D82" s="19" t="s">
        <v>121</v>
      </c>
      <c r="E82" s="14">
        <f t="shared" si="1"/>
        <v>13</v>
      </c>
      <c r="F82" s="19">
        <f t="shared" si="2"/>
        <v>7</v>
      </c>
      <c r="G82" s="20">
        <f t="shared" si="3"/>
        <v>0.5384615385</v>
      </c>
      <c r="H82" s="19">
        <v>36.0</v>
      </c>
      <c r="I82" s="19">
        <v>39.0</v>
      </c>
      <c r="J82" s="19">
        <v>1.0</v>
      </c>
      <c r="K82" s="19">
        <v>3.4</v>
      </c>
      <c r="L82" s="19">
        <v>46.0</v>
      </c>
      <c r="M82" s="19">
        <v>53.0</v>
      </c>
      <c r="N82" s="19">
        <v>6.5</v>
      </c>
      <c r="O82" s="19" t="s">
        <v>143</v>
      </c>
      <c r="P82" s="19" t="s">
        <v>189</v>
      </c>
      <c r="Q82" s="20">
        <f t="shared" si="4"/>
        <v>0.5384615385</v>
      </c>
      <c r="R82" s="20">
        <f t="shared" si="5"/>
        <v>0.9230769231</v>
      </c>
      <c r="S82" s="20">
        <f t="shared" si="6"/>
        <v>0.02564102564</v>
      </c>
      <c r="T82" s="20">
        <f t="shared" si="7"/>
        <v>0.8679245283</v>
      </c>
      <c r="U82" s="20">
        <f>IF(B82="","",MIN(Q82/Targets!$B$2,1)*Targets!$D$2+MIN(G82/100/Targets!$B$3,1)*Targets!$D$3+MIN(T82/Targets!$B$4,1)*Targets!$D$4+MIN(R82/Targets!$B$5,1)*Targets!$D$5+MIN(N82/Targets!$B$6,1)*Targets!$D$6+MIN(Targets!$B$7/MAX(S82,0.0001),1)*Targets!$D$7)</f>
        <v>0.6047132102</v>
      </c>
    </row>
    <row r="83">
      <c r="A83" s="18">
        <v>46220.0</v>
      </c>
      <c r="B83" s="19" t="s">
        <v>25</v>
      </c>
      <c r="C83" s="19" t="s">
        <v>167</v>
      </c>
      <c r="D83" s="19" t="s">
        <v>121</v>
      </c>
      <c r="E83" s="14">
        <f t="shared" si="1"/>
        <v>9</v>
      </c>
      <c r="F83" s="19">
        <f t="shared" si="2"/>
        <v>13</v>
      </c>
      <c r="G83" s="20">
        <f t="shared" si="3"/>
        <v>1.444444444</v>
      </c>
      <c r="H83" s="19">
        <v>41.0</v>
      </c>
      <c r="I83" s="19">
        <v>44.0</v>
      </c>
      <c r="J83" s="19">
        <v>2.0</v>
      </c>
      <c r="K83" s="19">
        <v>2.2</v>
      </c>
      <c r="L83" s="19">
        <v>46.0</v>
      </c>
      <c r="M83" s="19">
        <v>51.0</v>
      </c>
      <c r="N83" s="19">
        <v>7.4</v>
      </c>
      <c r="O83" s="19" t="s">
        <v>143</v>
      </c>
      <c r="P83" s="19" t="s">
        <v>191</v>
      </c>
      <c r="Q83" s="20">
        <f t="shared" si="4"/>
        <v>1.444444444</v>
      </c>
      <c r="R83" s="20">
        <f t="shared" si="5"/>
        <v>0.9318181818</v>
      </c>
      <c r="S83" s="20">
        <f t="shared" si="6"/>
        <v>0.04545454545</v>
      </c>
      <c r="T83" s="20">
        <f t="shared" si="7"/>
        <v>0.9019607843</v>
      </c>
      <c r="U83" s="20">
        <f>IF(B83="","",MIN(Q83/Targets!$B$2,1)*Targets!$D$2+MIN(G83/100/Targets!$B$3,1)*Targets!$D$3+MIN(T83/Targets!$B$4,1)*Targets!$D$4+MIN(R83/Targets!$B$5,1)*Targets!$D$5+MIN(N83/Targets!$B$6,1)*Targets!$D$6+MIN(Targets!$B$7/MAX(S83,0.0001),1)*Targets!$D$7)</f>
        <v>0.7019440014</v>
      </c>
    </row>
    <row r="84">
      <c r="A84" s="18">
        <v>46220.0</v>
      </c>
      <c r="B84" s="19" t="s">
        <v>37</v>
      </c>
      <c r="C84" s="19" t="s">
        <v>169</v>
      </c>
      <c r="D84" s="19" t="s">
        <v>121</v>
      </c>
      <c r="E84" s="14">
        <f t="shared" si="1"/>
        <v>10</v>
      </c>
      <c r="F84" s="19">
        <f t="shared" si="2"/>
        <v>13</v>
      </c>
      <c r="G84" s="20">
        <f t="shared" si="3"/>
        <v>1.3</v>
      </c>
      <c r="H84" s="19">
        <v>27.0</v>
      </c>
      <c r="I84" s="19">
        <v>30.0</v>
      </c>
      <c r="J84" s="19">
        <v>2.0</v>
      </c>
      <c r="K84" s="19">
        <v>3.9</v>
      </c>
      <c r="L84" s="19">
        <v>42.0</v>
      </c>
      <c r="M84" s="19">
        <v>44.0</v>
      </c>
      <c r="N84" s="19">
        <v>7.3</v>
      </c>
      <c r="O84" s="19" t="s">
        <v>143</v>
      </c>
      <c r="P84" s="19" t="s">
        <v>168</v>
      </c>
      <c r="Q84" s="20">
        <f t="shared" si="4"/>
        <v>1.3</v>
      </c>
      <c r="R84" s="20">
        <f t="shared" si="5"/>
        <v>0.9</v>
      </c>
      <c r="S84" s="20">
        <f t="shared" si="6"/>
        <v>0.06666666667</v>
      </c>
      <c r="T84" s="20">
        <f t="shared" si="7"/>
        <v>0.9545454545</v>
      </c>
      <c r="U84" s="20">
        <f>IF(B84="","",MIN(Q84/Targets!$B$2,1)*Targets!$D$2+MIN(G84/100/Targets!$B$3,1)*Targets!$D$3+MIN(T84/Targets!$B$4,1)*Targets!$D$4+MIN(R84/Targets!$B$5,1)*Targets!$D$5+MIN(N84/Targets!$B$6,1)*Targets!$D$6+MIN(Targets!$B$7/MAX(S84,0.0001),1)*Targets!$D$7)</f>
        <v>0.6714385965</v>
      </c>
    </row>
    <row r="85">
      <c r="A85" s="18">
        <v>46220.0</v>
      </c>
      <c r="B85" s="19" t="s">
        <v>42</v>
      </c>
      <c r="C85" s="19" t="s">
        <v>171</v>
      </c>
      <c r="D85" s="19" t="s">
        <v>121</v>
      </c>
      <c r="E85" s="14">
        <f t="shared" si="1"/>
        <v>10</v>
      </c>
      <c r="F85" s="19">
        <f t="shared" si="2"/>
        <v>12</v>
      </c>
      <c r="G85" s="20">
        <f t="shared" si="3"/>
        <v>1.2</v>
      </c>
      <c r="H85" s="19">
        <v>46.0</v>
      </c>
      <c r="I85" s="19">
        <v>49.0</v>
      </c>
      <c r="J85" s="19">
        <v>3.0</v>
      </c>
      <c r="K85" s="19">
        <v>2.8</v>
      </c>
      <c r="L85" s="19">
        <v>47.0</v>
      </c>
      <c r="M85" s="19">
        <v>54.0</v>
      </c>
      <c r="N85" s="19">
        <v>7.3</v>
      </c>
      <c r="O85" s="19" t="s">
        <v>143</v>
      </c>
      <c r="P85" s="19" t="s">
        <v>186</v>
      </c>
      <c r="Q85" s="20">
        <f t="shared" si="4"/>
        <v>1.2</v>
      </c>
      <c r="R85" s="20">
        <f t="shared" si="5"/>
        <v>0.9387755102</v>
      </c>
      <c r="S85" s="20">
        <f t="shared" si="6"/>
        <v>0.0612244898</v>
      </c>
      <c r="T85" s="20">
        <f t="shared" si="7"/>
        <v>0.8703703704</v>
      </c>
      <c r="U85" s="20">
        <f>IF(B85="","",MIN(Q85/Targets!$B$2,1)*Targets!$D$2+MIN(G85/100/Targets!$B$3,1)*Targets!$D$3+MIN(T85/Targets!$B$4,1)*Targets!$D$4+MIN(R85/Targets!$B$5,1)*Targets!$D$5+MIN(N85/Targets!$B$6,1)*Targets!$D$6+MIN(Targets!$B$7/MAX(S85,0.0001),1)*Targets!$D$7)</f>
        <v>0.6789561072</v>
      </c>
    </row>
    <row r="86">
      <c r="A86" s="18">
        <v>46220.0</v>
      </c>
      <c r="B86" s="19" t="s">
        <v>46</v>
      </c>
      <c r="C86" s="19" t="s">
        <v>179</v>
      </c>
      <c r="D86" s="19" t="s">
        <v>121</v>
      </c>
      <c r="E86" s="14">
        <f t="shared" si="1"/>
        <v>13</v>
      </c>
      <c r="F86" s="19">
        <f t="shared" si="2"/>
        <v>15</v>
      </c>
      <c r="G86" s="20">
        <f t="shared" si="3"/>
        <v>1.153846154</v>
      </c>
      <c r="H86" s="19">
        <v>17.0</v>
      </c>
      <c r="I86" s="19">
        <v>21.0</v>
      </c>
      <c r="J86" s="19">
        <v>1.0</v>
      </c>
      <c r="K86" s="19">
        <v>5.5</v>
      </c>
      <c r="L86" s="19">
        <v>28.0</v>
      </c>
      <c r="M86" s="19">
        <v>41.0</v>
      </c>
      <c r="N86" s="19">
        <v>5.4</v>
      </c>
      <c r="O86" s="19" t="s">
        <v>143</v>
      </c>
      <c r="P86" s="19" t="s">
        <v>191</v>
      </c>
      <c r="Q86" s="20">
        <f t="shared" si="4"/>
        <v>1.153846154</v>
      </c>
      <c r="R86" s="20">
        <f t="shared" si="5"/>
        <v>0.8095238095</v>
      </c>
      <c r="S86" s="20">
        <f t="shared" si="6"/>
        <v>0.04761904762</v>
      </c>
      <c r="T86" s="20">
        <f t="shared" si="7"/>
        <v>0.6829268293</v>
      </c>
      <c r="U86" s="20">
        <f>IF(B86="","",MIN(Q86/Targets!$B$2,1)*Targets!$D$2+MIN(G86/100/Targets!$B$3,1)*Targets!$D$3+MIN(T86/Targets!$B$4,1)*Targets!$D$4+MIN(R86/Targets!$B$5,1)*Targets!$D$5+MIN(N86/Targets!$B$6,1)*Targets!$D$6+MIN(Targets!$B$7/MAX(S86,0.0001),1)*Targets!$D$7)</f>
        <v>0.6226296981</v>
      </c>
    </row>
    <row r="87">
      <c r="A87" s="18">
        <v>46220.0</v>
      </c>
      <c r="B87" s="19" t="s">
        <v>53</v>
      </c>
      <c r="C87" s="19" t="s">
        <v>14</v>
      </c>
      <c r="D87" s="19" t="s">
        <v>121</v>
      </c>
      <c r="E87" s="14">
        <f t="shared" si="1"/>
        <v>8</v>
      </c>
      <c r="F87" s="19">
        <f t="shared" si="2"/>
        <v>6</v>
      </c>
      <c r="G87" s="20">
        <f t="shared" si="3"/>
        <v>0.75</v>
      </c>
      <c r="H87" s="19">
        <v>35.0</v>
      </c>
      <c r="I87" s="19">
        <v>39.0</v>
      </c>
      <c r="J87" s="19">
        <v>2.0</v>
      </c>
      <c r="K87" s="19">
        <v>2.6</v>
      </c>
      <c r="L87" s="19">
        <v>45.0</v>
      </c>
      <c r="M87" s="19">
        <v>50.0</v>
      </c>
      <c r="N87" s="19">
        <v>6.6</v>
      </c>
      <c r="O87" s="19" t="s">
        <v>143</v>
      </c>
      <c r="P87" s="19" t="s">
        <v>189</v>
      </c>
      <c r="Q87" s="20">
        <f t="shared" si="4"/>
        <v>0.75</v>
      </c>
      <c r="R87" s="20">
        <f t="shared" si="5"/>
        <v>0.8974358974</v>
      </c>
      <c r="S87" s="20">
        <f t="shared" si="6"/>
        <v>0.05128205128</v>
      </c>
      <c r="T87" s="20">
        <f t="shared" si="7"/>
        <v>0.9</v>
      </c>
      <c r="U87" s="20">
        <f>IF(B87="","",MIN(Q87/Targets!$B$2,1)*Targets!$D$2+MIN(G87/100/Targets!$B$3,1)*Targets!$D$3+MIN(T87/Targets!$B$4,1)*Targets!$D$4+MIN(R87/Targets!$B$5,1)*Targets!$D$5+MIN(N87/Targets!$B$6,1)*Targets!$D$6+MIN(Targets!$B$7/MAX(S87,0.0001),1)*Targets!$D$7)</f>
        <v>0.6526527858</v>
      </c>
    </row>
    <row r="88">
      <c r="A88" s="18">
        <v>46220.0</v>
      </c>
      <c r="B88" s="19" t="s">
        <v>65</v>
      </c>
      <c r="C88" s="19" t="s">
        <v>167</v>
      </c>
      <c r="D88" s="19" t="s">
        <v>121</v>
      </c>
      <c r="E88" s="14">
        <f t="shared" si="1"/>
        <v>16</v>
      </c>
      <c r="F88" s="19">
        <f t="shared" si="2"/>
        <v>10</v>
      </c>
      <c r="G88" s="20">
        <f t="shared" si="3"/>
        <v>0.625</v>
      </c>
      <c r="H88" s="19">
        <v>64.0</v>
      </c>
      <c r="I88" s="19">
        <v>65.0</v>
      </c>
      <c r="J88" s="19">
        <v>3.0</v>
      </c>
      <c r="K88" s="19">
        <v>2.3</v>
      </c>
      <c r="L88" s="19">
        <v>66.0</v>
      </c>
      <c r="M88" s="19">
        <v>70.0</v>
      </c>
      <c r="N88" s="19">
        <v>8.0</v>
      </c>
      <c r="O88" s="19" t="s">
        <v>143</v>
      </c>
      <c r="P88" s="19" t="s">
        <v>168</v>
      </c>
      <c r="Q88" s="20">
        <f t="shared" si="4"/>
        <v>0.625</v>
      </c>
      <c r="R88" s="20">
        <f t="shared" si="5"/>
        <v>0.9846153846</v>
      </c>
      <c r="S88" s="20">
        <f t="shared" si="6"/>
        <v>0.04615384615</v>
      </c>
      <c r="T88" s="20">
        <f t="shared" si="7"/>
        <v>0.9428571429</v>
      </c>
      <c r="U88" s="20">
        <f>IF(B88="","",MIN(Q88/Targets!$B$2,1)*Targets!$D$2+MIN(G88/100/Targets!$B$3,1)*Targets!$D$3+MIN(T88/Targets!$B$4,1)*Targets!$D$4+MIN(R88/Targets!$B$5,1)*Targets!$D$5+MIN(N88/Targets!$B$6,1)*Targets!$D$6+MIN(Targets!$B$7/MAX(S88,0.0001),1)*Targets!$D$7)</f>
        <v>0.6409722222</v>
      </c>
    </row>
    <row r="89">
      <c r="A89" s="18">
        <v>46220.0</v>
      </c>
      <c r="B89" s="19" t="s">
        <v>73</v>
      </c>
      <c r="C89" s="19" t="s">
        <v>169</v>
      </c>
      <c r="D89" s="19" t="s">
        <v>121</v>
      </c>
      <c r="E89" s="14">
        <f t="shared" si="1"/>
        <v>13</v>
      </c>
      <c r="F89" s="19">
        <f t="shared" si="2"/>
        <v>8</v>
      </c>
      <c r="G89" s="20">
        <f t="shared" si="3"/>
        <v>0.6153846154</v>
      </c>
      <c r="H89" s="19">
        <v>32.0</v>
      </c>
      <c r="I89" s="19">
        <v>33.0</v>
      </c>
      <c r="J89" s="19">
        <v>3.0</v>
      </c>
      <c r="K89" s="19">
        <v>3.0</v>
      </c>
      <c r="L89" s="19">
        <v>44.0</v>
      </c>
      <c r="M89" s="19">
        <v>47.0</v>
      </c>
      <c r="N89" s="19">
        <v>8.3</v>
      </c>
      <c r="O89" s="19" t="s">
        <v>143</v>
      </c>
      <c r="P89" s="19" t="s">
        <v>168</v>
      </c>
      <c r="Q89" s="20">
        <f t="shared" si="4"/>
        <v>0.6153846154</v>
      </c>
      <c r="R89" s="20">
        <f t="shared" si="5"/>
        <v>0.9696969697</v>
      </c>
      <c r="S89" s="20">
        <f t="shared" si="6"/>
        <v>0.09090909091</v>
      </c>
      <c r="T89" s="20">
        <f t="shared" si="7"/>
        <v>0.9361702128</v>
      </c>
      <c r="U89" s="20">
        <f>IF(B89="","",MIN(Q89/Targets!$B$2,1)*Targets!$D$2+MIN(G89/100/Targets!$B$3,1)*Targets!$D$3+MIN(T89/Targets!$B$4,1)*Targets!$D$4+MIN(R89/Targets!$B$5,1)*Targets!$D$5+MIN(N89/Targets!$B$6,1)*Targets!$D$6+MIN(Targets!$B$7/MAX(S89,0.0001),1)*Targets!$D$7)</f>
        <v>0.5938034188</v>
      </c>
    </row>
    <row r="90">
      <c r="A90" s="18">
        <v>46220.0</v>
      </c>
      <c r="B90" s="19" t="s">
        <v>78</v>
      </c>
      <c r="C90" s="19" t="s">
        <v>171</v>
      </c>
      <c r="D90" s="19" t="s">
        <v>121</v>
      </c>
      <c r="E90" s="14">
        <f t="shared" si="1"/>
        <v>12</v>
      </c>
      <c r="F90" s="19">
        <f t="shared" si="2"/>
        <v>14</v>
      </c>
      <c r="G90" s="20">
        <f t="shared" si="3"/>
        <v>1.166666667</v>
      </c>
      <c r="H90" s="19">
        <v>41.0</v>
      </c>
      <c r="I90" s="19">
        <v>45.0</v>
      </c>
      <c r="J90" s="19">
        <v>1.0</v>
      </c>
      <c r="K90" s="19">
        <v>3.8</v>
      </c>
      <c r="L90" s="19">
        <v>52.0</v>
      </c>
      <c r="M90" s="19">
        <v>57.0</v>
      </c>
      <c r="N90" s="19">
        <v>6.4</v>
      </c>
      <c r="O90" s="19" t="s">
        <v>143</v>
      </c>
      <c r="P90" s="19" t="s">
        <v>187</v>
      </c>
      <c r="Q90" s="20">
        <f t="shared" si="4"/>
        <v>1.166666667</v>
      </c>
      <c r="R90" s="20">
        <f t="shared" si="5"/>
        <v>0.9111111111</v>
      </c>
      <c r="S90" s="20">
        <f t="shared" si="6"/>
        <v>0.02222222222</v>
      </c>
      <c r="T90" s="20">
        <f t="shared" si="7"/>
        <v>0.9122807018</v>
      </c>
      <c r="U90" s="20">
        <f>IF(B90="","",MIN(Q90/Targets!$B$2,1)*Targets!$D$2+MIN(G90/100/Targets!$B$3,1)*Targets!$D$3+MIN(T90/Targets!$B$4,1)*Targets!$D$4+MIN(R90/Targets!$B$5,1)*Targets!$D$5+MIN(N90/Targets!$B$6,1)*Targets!$D$6+MIN(Targets!$B$7/MAX(S90,0.0001),1)*Targets!$D$7)</f>
        <v>0.6891771094</v>
      </c>
    </row>
    <row r="91">
      <c r="A91" s="18">
        <v>46220.0</v>
      </c>
      <c r="B91" s="19" t="s">
        <v>84</v>
      </c>
      <c r="C91" s="19" t="s">
        <v>179</v>
      </c>
      <c r="D91" s="19" t="s">
        <v>121</v>
      </c>
      <c r="E91" s="14">
        <f t="shared" si="1"/>
        <v>13</v>
      </c>
      <c r="F91" s="19">
        <f t="shared" si="2"/>
        <v>12</v>
      </c>
      <c r="G91" s="20">
        <f t="shared" si="3"/>
        <v>0.9230769231</v>
      </c>
      <c r="H91" s="19">
        <v>29.0</v>
      </c>
      <c r="I91" s="19">
        <v>32.0</v>
      </c>
      <c r="J91" s="19">
        <v>2.0</v>
      </c>
      <c r="K91" s="19">
        <v>3.8</v>
      </c>
      <c r="L91" s="19">
        <v>38.0</v>
      </c>
      <c r="M91" s="19">
        <v>44.0</v>
      </c>
      <c r="N91" s="19">
        <v>7.4</v>
      </c>
      <c r="O91" s="19" t="s">
        <v>143</v>
      </c>
      <c r="P91" s="19" t="s">
        <v>144</v>
      </c>
      <c r="Q91" s="20">
        <f t="shared" si="4"/>
        <v>0.9230769231</v>
      </c>
      <c r="R91" s="20">
        <f t="shared" si="5"/>
        <v>0.90625</v>
      </c>
      <c r="S91" s="20">
        <f t="shared" si="6"/>
        <v>0.0625</v>
      </c>
      <c r="T91" s="20">
        <f t="shared" si="7"/>
        <v>0.8636363636</v>
      </c>
      <c r="U91" s="20">
        <f>IF(B91="","",MIN(Q91/Targets!$B$2,1)*Targets!$D$2+MIN(G91/100/Targets!$B$3,1)*Targets!$D$3+MIN(T91/Targets!$B$4,1)*Targets!$D$4+MIN(R91/Targets!$B$5,1)*Targets!$D$5+MIN(N91/Targets!$B$6,1)*Targets!$D$6+MIN(Targets!$B$7/MAX(S91,0.0001),1)*Targets!$D$7)</f>
        <v>0.6701084223</v>
      </c>
    </row>
    <row r="92">
      <c r="A92" s="18">
        <v>46220.0</v>
      </c>
      <c r="B92" s="19" t="s">
        <v>91</v>
      </c>
      <c r="C92" s="19" t="s">
        <v>188</v>
      </c>
      <c r="D92" s="19" t="s">
        <v>121</v>
      </c>
      <c r="E92" s="14">
        <f t="shared" si="1"/>
        <v>15</v>
      </c>
      <c r="F92" s="19">
        <f t="shared" si="2"/>
        <v>10</v>
      </c>
      <c r="G92" s="20">
        <f t="shared" si="3"/>
        <v>0.6666666667</v>
      </c>
      <c r="H92" s="19">
        <v>22.0</v>
      </c>
      <c r="I92" s="19">
        <v>28.0</v>
      </c>
      <c r="J92" s="19">
        <v>1.0</v>
      </c>
      <c r="K92" s="19">
        <v>6.4</v>
      </c>
      <c r="L92" s="19">
        <v>37.0</v>
      </c>
      <c r="M92" s="19">
        <v>48.0</v>
      </c>
      <c r="N92" s="19">
        <v>5.7</v>
      </c>
      <c r="O92" s="19" t="s">
        <v>143</v>
      </c>
      <c r="P92" s="19" t="s">
        <v>187</v>
      </c>
      <c r="Q92" s="20">
        <f t="shared" si="4"/>
        <v>0.6666666667</v>
      </c>
      <c r="R92" s="20">
        <f t="shared" si="5"/>
        <v>0.7857142857</v>
      </c>
      <c r="S92" s="20">
        <f t="shared" si="6"/>
        <v>0.03571428571</v>
      </c>
      <c r="T92" s="20">
        <f t="shared" si="7"/>
        <v>0.7708333333</v>
      </c>
      <c r="U92" s="20">
        <f>IF(B92="","",MIN(Q92/Targets!$B$2,1)*Targets!$D$2+MIN(G92/100/Targets!$B$3,1)*Targets!$D$3+MIN(T92/Targets!$B$4,1)*Targets!$D$4+MIN(R92/Targets!$B$5,1)*Targets!$D$5+MIN(N92/Targets!$B$6,1)*Targets!$D$6+MIN(Targets!$B$7/MAX(S92,0.0001),1)*Targets!$D$7)</f>
        <v>0.5843313144</v>
      </c>
    </row>
    <row r="93">
      <c r="A93" s="18">
        <v>46220.0</v>
      </c>
      <c r="B93" s="19" t="s">
        <v>100</v>
      </c>
      <c r="C93" s="19" t="s">
        <v>190</v>
      </c>
      <c r="D93" s="19" t="s">
        <v>121</v>
      </c>
      <c r="E93" s="14">
        <f t="shared" si="1"/>
        <v>14</v>
      </c>
      <c r="F93" s="19">
        <f t="shared" si="2"/>
        <v>15</v>
      </c>
      <c r="G93" s="20">
        <f t="shared" si="3"/>
        <v>1.071428571</v>
      </c>
      <c r="H93" s="19">
        <v>33.0</v>
      </c>
      <c r="I93" s="19">
        <v>35.0</v>
      </c>
      <c r="J93" s="19">
        <v>3.0</v>
      </c>
      <c r="K93" s="19">
        <v>3.7</v>
      </c>
      <c r="L93" s="19">
        <v>36.0</v>
      </c>
      <c r="M93" s="19">
        <v>43.0</v>
      </c>
      <c r="N93" s="19">
        <v>7.4</v>
      </c>
      <c r="O93" s="19" t="s">
        <v>143</v>
      </c>
      <c r="P93" s="19" t="s">
        <v>168</v>
      </c>
      <c r="Q93" s="20">
        <f t="shared" si="4"/>
        <v>1.071428571</v>
      </c>
      <c r="R93" s="20">
        <f t="shared" si="5"/>
        <v>0.9428571429</v>
      </c>
      <c r="S93" s="20">
        <f t="shared" si="6"/>
        <v>0.08571428571</v>
      </c>
      <c r="T93" s="20">
        <f t="shared" si="7"/>
        <v>0.8372093023</v>
      </c>
      <c r="U93" s="20">
        <f>IF(B93="","",MIN(Q93/Targets!$B$2,1)*Targets!$D$2+MIN(G93/100/Targets!$B$3,1)*Targets!$D$3+MIN(T93/Targets!$B$4,1)*Targets!$D$4+MIN(R93/Targets!$B$5,1)*Targets!$D$5+MIN(N93/Targets!$B$6,1)*Targets!$D$6+MIN(Targets!$B$7/MAX(S93,0.0001),1)*Targets!$D$7)</f>
        <v>0.6503118261</v>
      </c>
    </row>
    <row r="94">
      <c r="A94" s="18">
        <v>46220.0</v>
      </c>
      <c r="B94" s="19" t="s">
        <v>109</v>
      </c>
      <c r="C94" s="19" t="s">
        <v>14</v>
      </c>
      <c r="D94" s="19" t="s">
        <v>121</v>
      </c>
      <c r="E94" s="14">
        <f t="shared" si="1"/>
        <v>7</v>
      </c>
      <c r="F94" s="19">
        <f t="shared" si="2"/>
        <v>11</v>
      </c>
      <c r="G94" s="20">
        <f t="shared" si="3"/>
        <v>1.571428571</v>
      </c>
      <c r="H94" s="19">
        <v>43.0</v>
      </c>
      <c r="I94" s="19">
        <v>47.0</v>
      </c>
      <c r="J94" s="19">
        <v>3.0</v>
      </c>
      <c r="K94" s="19">
        <v>3.0</v>
      </c>
      <c r="L94" s="19">
        <v>46.0</v>
      </c>
      <c r="M94" s="19">
        <v>51.0</v>
      </c>
      <c r="N94" s="19">
        <v>6.7</v>
      </c>
      <c r="O94" s="19" t="s">
        <v>143</v>
      </c>
      <c r="P94" s="19" t="s">
        <v>186</v>
      </c>
      <c r="Q94" s="20">
        <f t="shared" si="4"/>
        <v>1.571428571</v>
      </c>
      <c r="R94" s="20">
        <f t="shared" si="5"/>
        <v>0.914893617</v>
      </c>
      <c r="S94" s="20">
        <f t="shared" si="6"/>
        <v>0.06382978723</v>
      </c>
      <c r="T94" s="20">
        <f t="shared" si="7"/>
        <v>0.9019607843</v>
      </c>
      <c r="U94" s="20">
        <f>IF(B94="","",MIN(Q94/Targets!$B$2,1)*Targets!$D$2+MIN(G94/100/Targets!$B$3,1)*Targets!$D$3+MIN(T94/Targets!$B$4,1)*Targets!$D$4+MIN(R94/Targets!$B$5,1)*Targets!$D$5+MIN(N94/Targets!$B$6,1)*Targets!$D$6+MIN(Targets!$B$7/MAX(S94,0.0001),1)*Targets!$D$7)</f>
        <v>0.6737426012</v>
      </c>
    </row>
    <row r="95">
      <c r="A95" s="18">
        <v>46220.0</v>
      </c>
      <c r="B95" s="19" t="s">
        <v>115</v>
      </c>
      <c r="C95" s="19" t="s">
        <v>167</v>
      </c>
      <c r="D95" s="19" t="s">
        <v>121</v>
      </c>
      <c r="E95" s="14">
        <f t="shared" si="1"/>
        <v>14</v>
      </c>
      <c r="F95" s="19">
        <f t="shared" si="2"/>
        <v>11</v>
      </c>
      <c r="G95" s="20">
        <f t="shared" si="3"/>
        <v>0.7857142857</v>
      </c>
      <c r="H95" s="19">
        <v>37.0</v>
      </c>
      <c r="I95" s="19">
        <v>43.0</v>
      </c>
      <c r="J95" s="19">
        <v>3.0</v>
      </c>
      <c r="K95" s="19">
        <v>3.7</v>
      </c>
      <c r="L95" s="19">
        <v>51.0</v>
      </c>
      <c r="M95" s="19">
        <v>59.0</v>
      </c>
      <c r="N95" s="19">
        <v>6.6</v>
      </c>
      <c r="O95" s="19" t="s">
        <v>143</v>
      </c>
      <c r="P95" s="19" t="s">
        <v>189</v>
      </c>
      <c r="Q95" s="20">
        <f t="shared" si="4"/>
        <v>0.7857142857</v>
      </c>
      <c r="R95" s="20">
        <f t="shared" si="5"/>
        <v>0.8604651163</v>
      </c>
      <c r="S95" s="20">
        <f t="shared" si="6"/>
        <v>0.06976744186</v>
      </c>
      <c r="T95" s="20">
        <f t="shared" si="7"/>
        <v>0.8644067797</v>
      </c>
      <c r="U95" s="20">
        <f>IF(B95="","",MIN(Q95/Targets!$B$2,1)*Targets!$D$2+MIN(G95/100/Targets!$B$3,1)*Targets!$D$3+MIN(T95/Targets!$B$4,1)*Targets!$D$4+MIN(R95/Targets!$B$5,1)*Targets!$D$5+MIN(N95/Targets!$B$6,1)*Targets!$D$6+MIN(Targets!$B$7/MAX(S95,0.0001),1)*Targets!$D$7)</f>
        <v>0.6231053129</v>
      </c>
    </row>
    <row r="96">
      <c r="A96" s="18">
        <v>46220.0</v>
      </c>
      <c r="B96" s="19" t="s">
        <v>118</v>
      </c>
      <c r="C96" s="19" t="s">
        <v>169</v>
      </c>
      <c r="D96" s="19" t="s">
        <v>121</v>
      </c>
      <c r="E96" s="14">
        <f t="shared" si="1"/>
        <v>13</v>
      </c>
      <c r="F96" s="19">
        <f t="shared" si="2"/>
        <v>8</v>
      </c>
      <c r="G96" s="20">
        <f t="shared" si="3"/>
        <v>0.6153846154</v>
      </c>
      <c r="H96" s="19">
        <v>50.0</v>
      </c>
      <c r="I96" s="19">
        <v>51.0</v>
      </c>
      <c r="J96" s="19">
        <v>2.0</v>
      </c>
      <c r="K96" s="19">
        <v>1.6</v>
      </c>
      <c r="L96" s="19">
        <v>48.0</v>
      </c>
      <c r="M96" s="19">
        <v>54.0</v>
      </c>
      <c r="N96" s="19">
        <v>8.3</v>
      </c>
      <c r="O96" s="19" t="s">
        <v>143</v>
      </c>
      <c r="P96" s="19" t="s">
        <v>191</v>
      </c>
      <c r="Q96" s="20">
        <f t="shared" si="4"/>
        <v>0.6153846154</v>
      </c>
      <c r="R96" s="20">
        <f t="shared" si="5"/>
        <v>0.9803921569</v>
      </c>
      <c r="S96" s="20">
        <f t="shared" si="6"/>
        <v>0.03921568627</v>
      </c>
      <c r="T96" s="20">
        <f t="shared" si="7"/>
        <v>0.8888888889</v>
      </c>
      <c r="U96" s="20">
        <f>IF(B96="","",MIN(Q96/Targets!$B$2,1)*Targets!$D$2+MIN(G96/100/Targets!$B$3,1)*Targets!$D$3+MIN(T96/Targets!$B$4,1)*Targets!$D$4+MIN(R96/Targets!$B$5,1)*Targets!$D$5+MIN(N96/Targets!$B$6,1)*Targets!$D$6+MIN(Targets!$B$7/MAX(S96,0.0001),1)*Targets!$D$7)</f>
        <v>0.636951567</v>
      </c>
    </row>
    <row r="97">
      <c r="A97" s="18">
        <v>46220.0</v>
      </c>
      <c r="B97" s="19" t="s">
        <v>123</v>
      </c>
      <c r="C97" s="19" t="s">
        <v>171</v>
      </c>
      <c r="D97" s="19" t="s">
        <v>121</v>
      </c>
      <c r="E97" s="14">
        <f t="shared" si="1"/>
        <v>15</v>
      </c>
      <c r="F97" s="19">
        <f t="shared" si="2"/>
        <v>7</v>
      </c>
      <c r="G97" s="20">
        <f t="shared" si="3"/>
        <v>0.4666666667</v>
      </c>
      <c r="H97" s="19">
        <v>55.0</v>
      </c>
      <c r="I97" s="19">
        <v>56.0</v>
      </c>
      <c r="J97" s="19">
        <v>1.0</v>
      </c>
      <c r="K97" s="19">
        <v>2.7</v>
      </c>
      <c r="L97" s="19">
        <v>54.0</v>
      </c>
      <c r="M97" s="19">
        <v>59.0</v>
      </c>
      <c r="N97" s="19">
        <v>8.0</v>
      </c>
      <c r="O97" s="19" t="s">
        <v>143</v>
      </c>
      <c r="P97" s="19" t="s">
        <v>189</v>
      </c>
      <c r="Q97" s="20">
        <f t="shared" si="4"/>
        <v>0.4666666667</v>
      </c>
      <c r="R97" s="20">
        <f t="shared" si="5"/>
        <v>0.9821428571</v>
      </c>
      <c r="S97" s="20">
        <f t="shared" si="6"/>
        <v>0.01785714286</v>
      </c>
      <c r="T97" s="20">
        <f t="shared" si="7"/>
        <v>0.9152542373</v>
      </c>
      <c r="U97" s="20">
        <f>IF(B97="","",MIN(Q97/Targets!$B$2,1)*Targets!$D$2+MIN(G97/100/Targets!$B$3,1)*Targets!$D$3+MIN(T97/Targets!$B$4,1)*Targets!$D$4+MIN(R97/Targets!$B$5,1)*Targets!$D$5+MIN(N97/Targets!$B$6,1)*Targets!$D$6+MIN(Targets!$B$7/MAX(S97,0.0001),1)*Targets!$D$7)</f>
        <v>0.6052592593</v>
      </c>
    </row>
    <row r="98">
      <c r="A98" s="18">
        <v>46220.0</v>
      </c>
      <c r="B98" s="19" t="s">
        <v>126</v>
      </c>
      <c r="C98" s="19" t="s">
        <v>179</v>
      </c>
      <c r="D98" s="19" t="s">
        <v>121</v>
      </c>
      <c r="E98" s="14">
        <f t="shared" si="1"/>
        <v>7</v>
      </c>
      <c r="F98" s="19">
        <f t="shared" si="2"/>
        <v>11</v>
      </c>
      <c r="G98" s="20">
        <f t="shared" si="3"/>
        <v>1.571428571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 t="s">
        <v>205</v>
      </c>
      <c r="P98" s="19" t="s">
        <v>205</v>
      </c>
      <c r="Q98" s="20">
        <f t="shared" si="4"/>
        <v>1.571428571</v>
      </c>
      <c r="R98" s="20">
        <f t="shared" si="5"/>
        <v>0</v>
      </c>
      <c r="S98" s="20">
        <f t="shared" si="6"/>
        <v>0</v>
      </c>
      <c r="T98" s="20">
        <f t="shared" si="7"/>
        <v>0</v>
      </c>
      <c r="U98" s="20">
        <f>IF(B98="","",MIN(Q98/Targets!$B$2,1)*Targets!$D$2+MIN(G98/100/Targets!$B$3,1)*Targets!$D$3+MIN(T98/Targets!$B$4,1)*Targets!$D$4+MIN(R98/Targets!$B$5,1)*Targets!$D$5+MIN(N98/Targets!$B$6,1)*Targets!$D$6+MIN(Targets!$B$7/MAX(S98,0.0001),1)*Targets!$D$7)</f>
        <v>0.3052380952</v>
      </c>
    </row>
    <row r="99">
      <c r="A99" s="18">
        <v>46220.0</v>
      </c>
      <c r="B99" s="19" t="s">
        <v>129</v>
      </c>
      <c r="C99" s="19" t="s">
        <v>188</v>
      </c>
      <c r="D99" s="19" t="s">
        <v>121</v>
      </c>
      <c r="E99" s="14">
        <f t="shared" si="1"/>
        <v>16</v>
      </c>
      <c r="F99" s="19">
        <f t="shared" si="2"/>
        <v>9</v>
      </c>
      <c r="G99" s="20">
        <f t="shared" si="3"/>
        <v>0.5625</v>
      </c>
      <c r="H99" s="19">
        <v>30.0</v>
      </c>
      <c r="I99" s="19">
        <v>35.0</v>
      </c>
      <c r="J99" s="19">
        <v>2.0</v>
      </c>
      <c r="K99" s="19">
        <v>4.3</v>
      </c>
      <c r="L99" s="19">
        <v>39.0</v>
      </c>
      <c r="M99" s="19">
        <v>52.0</v>
      </c>
      <c r="N99" s="19">
        <v>5.5</v>
      </c>
      <c r="O99" s="19" t="s">
        <v>143</v>
      </c>
      <c r="P99" s="19" t="s">
        <v>144</v>
      </c>
      <c r="Q99" s="20">
        <f t="shared" si="4"/>
        <v>0.5625</v>
      </c>
      <c r="R99" s="20">
        <f t="shared" si="5"/>
        <v>0.8571428571</v>
      </c>
      <c r="S99" s="20">
        <f t="shared" si="6"/>
        <v>0.05714285714</v>
      </c>
      <c r="T99" s="20">
        <f t="shared" si="7"/>
        <v>0.75</v>
      </c>
      <c r="U99" s="20">
        <f>IF(B99="","",MIN(Q99/Targets!$B$2,1)*Targets!$D$2+MIN(G99/100/Targets!$B$3,1)*Targets!$D$3+MIN(T99/Targets!$B$4,1)*Targets!$D$4+MIN(R99/Targets!$B$5,1)*Targets!$D$5+MIN(N99/Targets!$B$6,1)*Targets!$D$6+MIN(Targets!$B$7/MAX(S99,0.0001),1)*Targets!$D$7)</f>
        <v>0.5532847744</v>
      </c>
    </row>
    <row r="100">
      <c r="A100" s="18">
        <v>46220.0</v>
      </c>
      <c r="B100" s="19" t="s">
        <v>132</v>
      </c>
      <c r="C100" s="19" t="s">
        <v>190</v>
      </c>
      <c r="D100" s="19" t="s">
        <v>121</v>
      </c>
      <c r="E100" s="14">
        <f t="shared" si="1"/>
        <v>6</v>
      </c>
      <c r="F100" s="19">
        <f t="shared" si="2"/>
        <v>9</v>
      </c>
      <c r="G100" s="20">
        <f t="shared" si="3"/>
        <v>1.5</v>
      </c>
      <c r="H100" s="19">
        <v>18.0</v>
      </c>
      <c r="I100" s="19">
        <v>24.0</v>
      </c>
      <c r="J100" s="19">
        <v>2.0</v>
      </c>
      <c r="K100" s="19">
        <v>5.4</v>
      </c>
      <c r="L100" s="19">
        <v>28.0</v>
      </c>
      <c r="M100" s="19">
        <v>40.0</v>
      </c>
      <c r="N100" s="19">
        <v>5.8</v>
      </c>
      <c r="O100" s="19" t="s">
        <v>143</v>
      </c>
      <c r="P100" s="19" t="s">
        <v>187</v>
      </c>
      <c r="Q100" s="20">
        <f t="shared" si="4"/>
        <v>1.5</v>
      </c>
      <c r="R100" s="20">
        <f t="shared" si="5"/>
        <v>0.75</v>
      </c>
      <c r="S100" s="20">
        <f t="shared" si="6"/>
        <v>0.08333333333</v>
      </c>
      <c r="T100" s="20">
        <f t="shared" si="7"/>
        <v>0.7</v>
      </c>
      <c r="U100" s="20">
        <f>IF(B100="","",MIN(Q100/Targets!$B$2,1)*Targets!$D$2+MIN(G100/100/Targets!$B$3,1)*Targets!$D$3+MIN(T100/Targets!$B$4,1)*Targets!$D$4+MIN(R100/Targets!$B$5,1)*Targets!$D$5+MIN(N100/Targets!$B$6,1)*Targets!$D$6+MIN(Targets!$B$7/MAX(S100,0.0001),1)*Targets!$D$7)</f>
        <v>0.5829448622</v>
      </c>
    </row>
    <row r="101">
      <c r="A101" s="18">
        <v>46220.0</v>
      </c>
      <c r="B101" s="19" t="s">
        <v>135</v>
      </c>
      <c r="C101" s="19" t="s">
        <v>169</v>
      </c>
      <c r="D101" s="19" t="s">
        <v>121</v>
      </c>
      <c r="E101" s="14">
        <f t="shared" si="1"/>
        <v>10</v>
      </c>
      <c r="F101" s="19">
        <f t="shared" si="2"/>
        <v>8</v>
      </c>
      <c r="G101" s="20">
        <f t="shared" si="3"/>
        <v>0.8</v>
      </c>
      <c r="H101" s="19">
        <v>53.0</v>
      </c>
      <c r="I101" s="19">
        <v>57.0</v>
      </c>
      <c r="J101" s="19">
        <v>3.0</v>
      </c>
      <c r="K101" s="19">
        <v>2.0</v>
      </c>
      <c r="L101" s="19">
        <v>32.0</v>
      </c>
      <c r="M101" s="19">
        <v>38.0</v>
      </c>
      <c r="N101" s="19">
        <v>4.5</v>
      </c>
      <c r="O101" s="19" t="s">
        <v>200</v>
      </c>
      <c r="P101" s="19" t="s">
        <v>168</v>
      </c>
      <c r="Q101" s="20">
        <f t="shared" si="4"/>
        <v>0.8</v>
      </c>
      <c r="R101" s="20">
        <f t="shared" si="5"/>
        <v>0.9298245614</v>
      </c>
      <c r="S101" s="20">
        <f t="shared" si="6"/>
        <v>0.05263157895</v>
      </c>
      <c r="T101" s="20">
        <f t="shared" si="7"/>
        <v>0.8421052632</v>
      </c>
      <c r="U101" s="20">
        <f>IF(B101="","",MIN(Q101/Targets!$B$2,1)*Targets!$D$2+MIN(G101/100/Targets!$B$3,1)*Targets!$D$3+MIN(T101/Targets!$B$4,1)*Targets!$D$4+MIN(R101/Targets!$B$5,1)*Targets!$D$5+MIN(N101/Targets!$B$6,1)*Targets!$D$6+MIN(Targets!$B$7/MAX(S101,0.0001),1)*Targets!$D$7)</f>
        <v>0.6268954404</v>
      </c>
    </row>
    <row r="102">
      <c r="A102" s="18">
        <v>46223.0</v>
      </c>
      <c r="B102" s="19" t="s">
        <v>10</v>
      </c>
      <c r="C102" s="19" t="s">
        <v>14</v>
      </c>
      <c r="D102" s="19" t="s">
        <v>121</v>
      </c>
      <c r="E102" s="14">
        <f t="shared" si="1"/>
        <v>16</v>
      </c>
      <c r="F102" s="19">
        <f t="shared" si="2"/>
        <v>7</v>
      </c>
      <c r="G102" s="20">
        <f t="shared" si="3"/>
        <v>0.4375</v>
      </c>
      <c r="H102" s="19">
        <v>27.0</v>
      </c>
      <c r="I102" s="19">
        <v>31.0</v>
      </c>
      <c r="J102" s="19">
        <v>0.0</v>
      </c>
      <c r="K102" s="19">
        <v>5.2</v>
      </c>
      <c r="L102" s="19">
        <v>34.0</v>
      </c>
      <c r="M102" s="19">
        <v>39.0</v>
      </c>
      <c r="N102" s="19">
        <v>7.2</v>
      </c>
      <c r="O102" s="19" t="s">
        <v>143</v>
      </c>
      <c r="P102" s="19" t="s">
        <v>189</v>
      </c>
      <c r="Q102" s="20">
        <f t="shared" si="4"/>
        <v>0.4375</v>
      </c>
      <c r="R102" s="20">
        <f t="shared" si="5"/>
        <v>0.8709677419</v>
      </c>
      <c r="S102" s="20">
        <f t="shared" si="6"/>
        <v>0</v>
      </c>
      <c r="T102" s="20">
        <f t="shared" si="7"/>
        <v>0.8717948718</v>
      </c>
      <c r="U102" s="20">
        <f>IF(B102="","",MIN(Q102/Targets!$B$2,1)*Targets!$D$2+MIN(G102/100/Targets!$B$3,1)*Targets!$D$3+MIN(T102/Targets!$B$4,1)*Targets!$D$4+MIN(R102/Targets!$B$5,1)*Targets!$D$5+MIN(N102/Targets!$B$6,1)*Targets!$D$6+MIN(Targets!$B$7/MAX(S102,0.0001),1)*Targets!$D$7)</f>
        <v>0.5815009233</v>
      </c>
    </row>
    <row r="103">
      <c r="A103" s="18">
        <v>46223.0</v>
      </c>
      <c r="B103" s="19" t="s">
        <v>25</v>
      </c>
      <c r="C103" s="19" t="s">
        <v>167</v>
      </c>
      <c r="D103" s="19" t="s">
        <v>121</v>
      </c>
      <c r="E103" s="14">
        <f t="shared" si="1"/>
        <v>10</v>
      </c>
      <c r="F103" s="19">
        <f t="shared" si="2"/>
        <v>6</v>
      </c>
      <c r="G103" s="20">
        <f t="shared" si="3"/>
        <v>0.6</v>
      </c>
      <c r="H103" s="19">
        <v>46.0</v>
      </c>
      <c r="I103" s="19">
        <v>50.0</v>
      </c>
      <c r="J103" s="19">
        <v>2.0</v>
      </c>
      <c r="K103" s="19">
        <v>4.0</v>
      </c>
      <c r="L103" s="19">
        <v>47.0</v>
      </c>
      <c r="M103" s="19">
        <v>53.0</v>
      </c>
      <c r="N103" s="19">
        <v>6.7</v>
      </c>
      <c r="O103" s="19" t="s">
        <v>143</v>
      </c>
      <c r="P103" s="19" t="s">
        <v>191</v>
      </c>
      <c r="Q103" s="20">
        <f t="shared" si="4"/>
        <v>0.6</v>
      </c>
      <c r="R103" s="20">
        <f t="shared" si="5"/>
        <v>0.92</v>
      </c>
      <c r="S103" s="20">
        <f t="shared" si="6"/>
        <v>0.04</v>
      </c>
      <c r="T103" s="20">
        <f t="shared" si="7"/>
        <v>0.8867924528</v>
      </c>
      <c r="U103" s="20">
        <f>IF(B103="","",MIN(Q103/Targets!$B$2,1)*Targets!$D$2+MIN(G103/100/Targets!$B$3,1)*Targets!$D$3+MIN(T103/Targets!$B$4,1)*Targets!$D$4+MIN(R103/Targets!$B$5,1)*Targets!$D$5+MIN(N103/Targets!$B$6,1)*Targets!$D$6+MIN(Targets!$B$7/MAX(S103,0.0001),1)*Targets!$D$7)</f>
        <v>0.6241095191</v>
      </c>
    </row>
    <row r="104">
      <c r="A104" s="18">
        <v>46223.0</v>
      </c>
      <c r="B104" s="19" t="s">
        <v>37</v>
      </c>
      <c r="C104" s="19" t="s">
        <v>169</v>
      </c>
      <c r="D104" s="19" t="s">
        <v>121</v>
      </c>
      <c r="E104" s="14">
        <f t="shared" si="1"/>
        <v>16</v>
      </c>
      <c r="F104" s="19">
        <f t="shared" si="2"/>
        <v>11</v>
      </c>
      <c r="G104" s="20">
        <f t="shared" si="3"/>
        <v>0.6875</v>
      </c>
      <c r="H104" s="19">
        <v>42.0</v>
      </c>
      <c r="I104" s="19">
        <v>47.0</v>
      </c>
      <c r="J104" s="19">
        <v>2.0</v>
      </c>
      <c r="K104" s="19">
        <v>4.3</v>
      </c>
      <c r="L104" s="19">
        <v>50.0</v>
      </c>
      <c r="M104" s="19">
        <v>54.0</v>
      </c>
      <c r="N104" s="19">
        <v>7.1</v>
      </c>
      <c r="O104" s="19" t="s">
        <v>143</v>
      </c>
      <c r="P104" s="19" t="s">
        <v>168</v>
      </c>
      <c r="Q104" s="20">
        <f t="shared" si="4"/>
        <v>0.6875</v>
      </c>
      <c r="R104" s="20">
        <f t="shared" si="5"/>
        <v>0.8936170213</v>
      </c>
      <c r="S104" s="20">
        <f t="shared" si="6"/>
        <v>0.04255319149</v>
      </c>
      <c r="T104" s="20">
        <f t="shared" si="7"/>
        <v>0.9259259259</v>
      </c>
      <c r="U104" s="20">
        <f>IF(B104="","",MIN(Q104/Targets!$B$2,1)*Targets!$D$2+MIN(G104/100/Targets!$B$3,1)*Targets!$D$3+MIN(T104/Targets!$B$4,1)*Targets!$D$4+MIN(R104/Targets!$B$5,1)*Targets!$D$5+MIN(N104/Targets!$B$6,1)*Targets!$D$6+MIN(Targets!$B$7/MAX(S104,0.0001),1)*Targets!$D$7)</f>
        <v>0.6461668689</v>
      </c>
    </row>
    <row r="105">
      <c r="A105" s="18">
        <v>46223.0</v>
      </c>
      <c r="B105" s="19" t="s">
        <v>42</v>
      </c>
      <c r="C105" s="19" t="s">
        <v>171</v>
      </c>
      <c r="D105" s="19" t="s">
        <v>121</v>
      </c>
      <c r="E105" s="14">
        <f t="shared" si="1"/>
        <v>11</v>
      </c>
      <c r="F105" s="19">
        <f t="shared" si="2"/>
        <v>6</v>
      </c>
      <c r="G105" s="20">
        <f t="shared" si="3"/>
        <v>0.5454545455</v>
      </c>
      <c r="H105" s="19">
        <v>26.0</v>
      </c>
      <c r="I105" s="19">
        <v>31.0</v>
      </c>
      <c r="J105" s="19">
        <v>2.0</v>
      </c>
      <c r="K105" s="19">
        <v>5.7</v>
      </c>
      <c r="L105" s="19">
        <v>32.0</v>
      </c>
      <c r="M105" s="19">
        <v>44.0</v>
      </c>
      <c r="N105" s="19">
        <v>5.9</v>
      </c>
      <c r="O105" s="19" t="s">
        <v>143</v>
      </c>
      <c r="P105" s="19" t="s">
        <v>189</v>
      </c>
      <c r="Q105" s="20">
        <f t="shared" si="4"/>
        <v>0.5454545455</v>
      </c>
      <c r="R105" s="20">
        <f t="shared" si="5"/>
        <v>0.8387096774</v>
      </c>
      <c r="S105" s="20">
        <f t="shared" si="6"/>
        <v>0.06451612903</v>
      </c>
      <c r="T105" s="20">
        <f t="shared" si="7"/>
        <v>0.7272727273</v>
      </c>
      <c r="U105" s="20">
        <f>IF(B105="","",MIN(Q105/Targets!$B$2,1)*Targets!$D$2+MIN(G105/100/Targets!$B$3,1)*Targets!$D$3+MIN(T105/Targets!$B$4,1)*Targets!$D$4+MIN(R105/Targets!$B$5,1)*Targets!$D$5+MIN(N105/Targets!$B$6,1)*Targets!$D$6+MIN(Targets!$B$7/MAX(S105,0.0001),1)*Targets!$D$7)</f>
        <v>0.5384559823</v>
      </c>
    </row>
    <row r="106">
      <c r="A106" s="18">
        <v>46223.0</v>
      </c>
      <c r="B106" s="19" t="s">
        <v>46</v>
      </c>
      <c r="C106" s="19" t="s">
        <v>179</v>
      </c>
      <c r="D106" s="19" t="s">
        <v>121</v>
      </c>
      <c r="E106" s="14">
        <f t="shared" si="1"/>
        <v>10</v>
      </c>
      <c r="F106" s="19">
        <f t="shared" si="2"/>
        <v>9</v>
      </c>
      <c r="G106" s="20">
        <f t="shared" si="3"/>
        <v>0.9</v>
      </c>
      <c r="H106" s="19">
        <v>36.0</v>
      </c>
      <c r="I106" s="19">
        <v>39.0</v>
      </c>
      <c r="J106" s="19">
        <v>1.0</v>
      </c>
      <c r="K106" s="19">
        <v>2.6</v>
      </c>
      <c r="L106" s="19">
        <v>47.0</v>
      </c>
      <c r="M106" s="19">
        <v>53.0</v>
      </c>
      <c r="N106" s="19">
        <v>6.6</v>
      </c>
      <c r="O106" s="19" t="s">
        <v>143</v>
      </c>
      <c r="P106" s="19" t="s">
        <v>187</v>
      </c>
      <c r="Q106" s="20">
        <f t="shared" si="4"/>
        <v>0.9</v>
      </c>
      <c r="R106" s="20">
        <f t="shared" si="5"/>
        <v>0.9230769231</v>
      </c>
      <c r="S106" s="20">
        <f t="shared" si="6"/>
        <v>0.02564102564</v>
      </c>
      <c r="T106" s="20">
        <f t="shared" si="7"/>
        <v>0.8867924528</v>
      </c>
      <c r="U106" s="20">
        <f>IF(B106="","",MIN(Q106/Targets!$B$2,1)*Targets!$D$2+MIN(G106/100/Targets!$B$3,1)*Targets!$D$3+MIN(T106/Targets!$B$4,1)*Targets!$D$4+MIN(R106/Targets!$B$5,1)*Targets!$D$5+MIN(N106/Targets!$B$6,1)*Targets!$D$6+MIN(Targets!$B$7/MAX(S106,0.0001),1)*Targets!$D$7)</f>
        <v>0.6908334443</v>
      </c>
    </row>
    <row r="107">
      <c r="A107" s="18">
        <v>46223.0</v>
      </c>
      <c r="B107" s="19" t="s">
        <v>53</v>
      </c>
      <c r="C107" s="19" t="s">
        <v>14</v>
      </c>
      <c r="D107" s="19" t="s">
        <v>121</v>
      </c>
      <c r="E107" s="14">
        <f t="shared" si="1"/>
        <v>11</v>
      </c>
      <c r="F107" s="19">
        <f t="shared" si="2"/>
        <v>9</v>
      </c>
      <c r="G107" s="20">
        <f t="shared" si="3"/>
        <v>0.8181818182</v>
      </c>
      <c r="H107" s="19">
        <v>31.0</v>
      </c>
      <c r="I107" s="19">
        <v>38.0</v>
      </c>
      <c r="J107" s="19">
        <v>1.0</v>
      </c>
      <c r="K107" s="19">
        <v>5.4</v>
      </c>
      <c r="L107" s="19">
        <v>43.0</v>
      </c>
      <c r="M107" s="19">
        <v>52.0</v>
      </c>
      <c r="N107" s="19">
        <v>6.7</v>
      </c>
      <c r="O107" s="19" t="s">
        <v>143</v>
      </c>
      <c r="P107" s="19" t="s">
        <v>191</v>
      </c>
      <c r="Q107" s="20">
        <f t="shared" si="4"/>
        <v>0.8181818182</v>
      </c>
      <c r="R107" s="20">
        <f t="shared" si="5"/>
        <v>0.8157894737</v>
      </c>
      <c r="S107" s="20">
        <f t="shared" si="6"/>
        <v>0.02631578947</v>
      </c>
      <c r="T107" s="20">
        <f t="shared" si="7"/>
        <v>0.8269230769</v>
      </c>
      <c r="U107" s="20">
        <f>IF(B107="","",MIN(Q107/Targets!$B$2,1)*Targets!$D$2+MIN(G107/100/Targets!$B$3,1)*Targets!$D$3+MIN(T107/Targets!$B$4,1)*Targets!$D$4+MIN(R107/Targets!$B$5,1)*Targets!$D$5+MIN(N107/Targets!$B$6,1)*Targets!$D$6+MIN(Targets!$B$7/MAX(S107,0.0001),1)*Targets!$D$7)</f>
        <v>0.6468891173</v>
      </c>
    </row>
    <row r="108">
      <c r="A108" s="18">
        <v>46223.0</v>
      </c>
      <c r="B108" s="19" t="s">
        <v>65</v>
      </c>
      <c r="C108" s="19" t="s">
        <v>167</v>
      </c>
      <c r="D108" s="19" t="s">
        <v>121</v>
      </c>
      <c r="E108" s="14">
        <f t="shared" si="1"/>
        <v>6</v>
      </c>
      <c r="F108" s="19">
        <f t="shared" si="2"/>
        <v>6</v>
      </c>
      <c r="G108" s="20">
        <f t="shared" si="3"/>
        <v>1</v>
      </c>
      <c r="H108" s="19">
        <v>31.0</v>
      </c>
      <c r="I108" s="19">
        <v>34.0</v>
      </c>
      <c r="J108" s="19">
        <v>2.0</v>
      </c>
      <c r="K108" s="19">
        <v>4.5</v>
      </c>
      <c r="L108" s="19">
        <v>47.0</v>
      </c>
      <c r="M108" s="19">
        <v>59.0</v>
      </c>
      <c r="N108" s="19">
        <v>7.5</v>
      </c>
      <c r="O108" s="19" t="s">
        <v>143</v>
      </c>
      <c r="P108" s="19" t="s">
        <v>186</v>
      </c>
      <c r="Q108" s="20">
        <f t="shared" si="4"/>
        <v>1</v>
      </c>
      <c r="R108" s="20">
        <f t="shared" si="5"/>
        <v>0.9117647059</v>
      </c>
      <c r="S108" s="20">
        <f t="shared" si="6"/>
        <v>0.05882352941</v>
      </c>
      <c r="T108" s="20">
        <f t="shared" si="7"/>
        <v>0.7966101695</v>
      </c>
      <c r="U108" s="20">
        <f>IF(B108="","",MIN(Q108/Targets!$B$2,1)*Targets!$D$2+MIN(G108/100/Targets!$B$3,1)*Targets!$D$3+MIN(T108/Targets!$B$4,1)*Targets!$D$4+MIN(R108/Targets!$B$5,1)*Targets!$D$5+MIN(N108/Targets!$B$6,1)*Targets!$D$6+MIN(Targets!$B$7/MAX(S108,0.0001),1)*Targets!$D$7)</f>
        <v>0.6650645432</v>
      </c>
    </row>
    <row r="109">
      <c r="A109" s="18">
        <v>46223.0</v>
      </c>
      <c r="B109" s="19" t="s">
        <v>73</v>
      </c>
      <c r="C109" s="19" t="s">
        <v>169</v>
      </c>
      <c r="D109" s="19" t="s">
        <v>121</v>
      </c>
      <c r="E109" s="14">
        <f t="shared" si="1"/>
        <v>15</v>
      </c>
      <c r="F109" s="19">
        <f t="shared" si="2"/>
        <v>13</v>
      </c>
      <c r="G109" s="20">
        <f t="shared" si="3"/>
        <v>0.8666666667</v>
      </c>
      <c r="H109" s="19">
        <v>18.0</v>
      </c>
      <c r="I109" s="19">
        <v>22.0</v>
      </c>
      <c r="J109" s="19">
        <v>1.0</v>
      </c>
      <c r="K109" s="19">
        <v>4.4</v>
      </c>
      <c r="L109" s="19">
        <v>29.0</v>
      </c>
      <c r="M109" s="19">
        <v>41.0</v>
      </c>
      <c r="N109" s="19">
        <v>5.7</v>
      </c>
      <c r="O109" s="19" t="s">
        <v>143</v>
      </c>
      <c r="P109" s="19" t="s">
        <v>178</v>
      </c>
      <c r="Q109" s="20">
        <f t="shared" si="4"/>
        <v>0.8666666667</v>
      </c>
      <c r="R109" s="20">
        <f t="shared" si="5"/>
        <v>0.8181818182</v>
      </c>
      <c r="S109" s="20">
        <f t="shared" si="6"/>
        <v>0.04545454545</v>
      </c>
      <c r="T109" s="20">
        <f t="shared" si="7"/>
        <v>0.7073170732</v>
      </c>
      <c r="U109" s="20">
        <f>IF(B109="","",MIN(Q109/Targets!$B$2,1)*Targets!$D$2+MIN(G109/100/Targets!$B$3,1)*Targets!$D$3+MIN(T109/Targets!$B$4,1)*Targets!$D$4+MIN(R109/Targets!$B$5,1)*Targets!$D$5+MIN(N109/Targets!$B$6,1)*Targets!$D$6+MIN(Targets!$B$7/MAX(S109,0.0001),1)*Targets!$D$7)</f>
        <v>0.6239828346</v>
      </c>
    </row>
    <row r="110">
      <c r="A110" s="18">
        <v>46223.0</v>
      </c>
      <c r="B110" s="19" t="s">
        <v>78</v>
      </c>
      <c r="C110" s="19" t="s">
        <v>171</v>
      </c>
      <c r="D110" s="19" t="s">
        <v>121</v>
      </c>
      <c r="E110" s="14">
        <f t="shared" si="1"/>
        <v>16</v>
      </c>
      <c r="F110" s="19">
        <f t="shared" si="2"/>
        <v>10</v>
      </c>
      <c r="G110" s="20">
        <f t="shared" si="3"/>
        <v>0.625</v>
      </c>
      <c r="H110" s="19">
        <v>37.0</v>
      </c>
      <c r="I110" s="19">
        <v>40.0</v>
      </c>
      <c r="J110" s="19">
        <v>2.0</v>
      </c>
      <c r="K110" s="19">
        <v>3.3</v>
      </c>
      <c r="L110" s="19">
        <v>26.0</v>
      </c>
      <c r="M110" s="19">
        <v>30.0</v>
      </c>
      <c r="N110" s="19">
        <v>3.5</v>
      </c>
      <c r="O110" s="19" t="s">
        <v>200</v>
      </c>
      <c r="P110" s="19" t="s">
        <v>189</v>
      </c>
      <c r="Q110" s="20">
        <f t="shared" si="4"/>
        <v>0.625</v>
      </c>
      <c r="R110" s="20">
        <f t="shared" si="5"/>
        <v>0.925</v>
      </c>
      <c r="S110" s="20">
        <f t="shared" si="6"/>
        <v>0.05</v>
      </c>
      <c r="T110" s="20">
        <f t="shared" si="7"/>
        <v>0.8666666667</v>
      </c>
      <c r="U110" s="20">
        <f>IF(B110="","",MIN(Q110/Targets!$B$2,1)*Targets!$D$2+MIN(G110/100/Targets!$B$3,1)*Targets!$D$3+MIN(T110/Targets!$B$4,1)*Targets!$D$4+MIN(R110/Targets!$B$5,1)*Targets!$D$5+MIN(N110/Targets!$B$6,1)*Targets!$D$6+MIN(Targets!$B$7/MAX(S110,0.0001),1)*Targets!$D$7)</f>
        <v>0.5814692982</v>
      </c>
    </row>
    <row r="111">
      <c r="A111" s="18">
        <v>46223.0</v>
      </c>
      <c r="B111" s="19" t="s">
        <v>84</v>
      </c>
      <c r="C111" s="19" t="s">
        <v>179</v>
      </c>
      <c r="D111" s="19" t="s">
        <v>121</v>
      </c>
      <c r="E111" s="14">
        <f t="shared" si="1"/>
        <v>11</v>
      </c>
      <c r="F111" s="19">
        <f t="shared" si="2"/>
        <v>13</v>
      </c>
      <c r="G111" s="20">
        <f t="shared" si="3"/>
        <v>1.181818182</v>
      </c>
      <c r="H111" s="19">
        <v>35.0</v>
      </c>
      <c r="I111" s="19">
        <v>37.0</v>
      </c>
      <c r="J111" s="19">
        <v>3.0</v>
      </c>
      <c r="K111" s="19">
        <v>3.7</v>
      </c>
      <c r="L111" s="19">
        <v>43.0</v>
      </c>
      <c r="M111" s="19">
        <v>52.0</v>
      </c>
      <c r="N111" s="19">
        <v>7.2</v>
      </c>
      <c r="O111" s="19" t="s">
        <v>143</v>
      </c>
      <c r="P111" s="19" t="s">
        <v>178</v>
      </c>
      <c r="Q111" s="20">
        <f t="shared" si="4"/>
        <v>1.181818182</v>
      </c>
      <c r="R111" s="20">
        <f t="shared" si="5"/>
        <v>0.9459459459</v>
      </c>
      <c r="S111" s="20">
        <f t="shared" si="6"/>
        <v>0.08108108108</v>
      </c>
      <c r="T111" s="20">
        <f t="shared" si="7"/>
        <v>0.8269230769</v>
      </c>
      <c r="U111" s="20">
        <f>IF(B111="","",MIN(Q111/Targets!$B$2,1)*Targets!$D$2+MIN(G111/100/Targets!$B$3,1)*Targets!$D$3+MIN(T111/Targets!$B$4,1)*Targets!$D$4+MIN(R111/Targets!$B$5,1)*Targets!$D$5+MIN(N111/Targets!$B$6,1)*Targets!$D$6+MIN(Targets!$B$7/MAX(S111,0.0001),1)*Targets!$D$7)</f>
        <v>0.6527864596</v>
      </c>
    </row>
    <row r="112">
      <c r="A112" s="18">
        <v>46223.0</v>
      </c>
      <c r="B112" s="19" t="s">
        <v>91</v>
      </c>
      <c r="C112" s="19" t="s">
        <v>188</v>
      </c>
      <c r="D112" s="19" t="s">
        <v>121</v>
      </c>
      <c r="E112" s="14">
        <f t="shared" si="1"/>
        <v>6</v>
      </c>
      <c r="F112" s="19">
        <f t="shared" si="2"/>
        <v>7</v>
      </c>
      <c r="G112" s="20">
        <f t="shared" si="3"/>
        <v>1.166666667</v>
      </c>
      <c r="H112" s="19">
        <v>45.0</v>
      </c>
      <c r="I112" s="19">
        <v>47.0</v>
      </c>
      <c r="J112" s="19">
        <v>2.0</v>
      </c>
      <c r="K112" s="19">
        <v>1.6</v>
      </c>
      <c r="L112" s="19">
        <v>56.0</v>
      </c>
      <c r="M112" s="19">
        <v>60.0</v>
      </c>
      <c r="N112" s="19">
        <v>7.6</v>
      </c>
      <c r="O112" s="19" t="s">
        <v>143</v>
      </c>
      <c r="P112" s="19" t="s">
        <v>187</v>
      </c>
      <c r="Q112" s="20">
        <f t="shared" si="4"/>
        <v>1.166666667</v>
      </c>
      <c r="R112" s="20">
        <f t="shared" si="5"/>
        <v>0.9574468085</v>
      </c>
      <c r="S112" s="20">
        <f t="shared" si="6"/>
        <v>0.04255319149</v>
      </c>
      <c r="T112" s="20">
        <f t="shared" si="7"/>
        <v>0.9333333333</v>
      </c>
      <c r="U112" s="20">
        <f>IF(B112="","",MIN(Q112/Targets!$B$2,1)*Targets!$D$2+MIN(G112/100/Targets!$B$3,1)*Targets!$D$3+MIN(T112/Targets!$B$4,1)*Targets!$D$4+MIN(R112/Targets!$B$5,1)*Targets!$D$5+MIN(N112/Targets!$B$6,1)*Targets!$D$6+MIN(Targets!$B$7/MAX(S112,0.0001),1)*Targets!$D$7)</f>
        <v>0.7038888889</v>
      </c>
    </row>
    <row r="113">
      <c r="A113" s="18">
        <v>46223.0</v>
      </c>
      <c r="B113" s="19" t="s">
        <v>100</v>
      </c>
      <c r="C113" s="19" t="s">
        <v>190</v>
      </c>
      <c r="D113" s="19" t="s">
        <v>121</v>
      </c>
      <c r="E113" s="14">
        <f t="shared" si="1"/>
        <v>13</v>
      </c>
      <c r="F113" s="19">
        <f t="shared" si="2"/>
        <v>7</v>
      </c>
      <c r="G113" s="20">
        <f t="shared" si="3"/>
        <v>0.5384615385</v>
      </c>
      <c r="H113" s="19">
        <v>29.0</v>
      </c>
      <c r="I113" s="19">
        <v>34.0</v>
      </c>
      <c r="J113" s="19">
        <v>2.0</v>
      </c>
      <c r="K113" s="19">
        <v>4.1</v>
      </c>
      <c r="L113" s="19">
        <v>39.0</v>
      </c>
      <c r="M113" s="19">
        <v>46.0</v>
      </c>
      <c r="N113" s="19">
        <v>6.8</v>
      </c>
      <c r="O113" s="19" t="s">
        <v>143</v>
      </c>
      <c r="P113" s="19" t="s">
        <v>191</v>
      </c>
      <c r="Q113" s="20">
        <f t="shared" si="4"/>
        <v>0.5384615385</v>
      </c>
      <c r="R113" s="20">
        <f t="shared" si="5"/>
        <v>0.8529411765</v>
      </c>
      <c r="S113" s="20">
        <f t="shared" si="6"/>
        <v>0.05882352941</v>
      </c>
      <c r="T113" s="20">
        <f t="shared" si="7"/>
        <v>0.847826087</v>
      </c>
      <c r="U113" s="20">
        <f>IF(B113="","",MIN(Q113/Targets!$B$2,1)*Targets!$D$2+MIN(G113/100/Targets!$B$3,1)*Targets!$D$3+MIN(T113/Targets!$B$4,1)*Targets!$D$4+MIN(R113/Targets!$B$5,1)*Targets!$D$5+MIN(N113/Targets!$B$6,1)*Targets!$D$6+MIN(Targets!$B$7/MAX(S113,0.0001),1)*Targets!$D$7)</f>
        <v>0.579575119</v>
      </c>
    </row>
    <row r="114">
      <c r="A114" s="18">
        <v>46223.0</v>
      </c>
      <c r="B114" s="19" t="s">
        <v>109</v>
      </c>
      <c r="C114" s="19" t="s">
        <v>14</v>
      </c>
      <c r="D114" s="19" t="s">
        <v>121</v>
      </c>
      <c r="E114" s="14">
        <f t="shared" si="1"/>
        <v>7</v>
      </c>
      <c r="F114" s="19">
        <f t="shared" si="2"/>
        <v>8</v>
      </c>
      <c r="G114" s="20">
        <f t="shared" si="3"/>
        <v>1.142857143</v>
      </c>
      <c r="H114" s="19">
        <v>37.0</v>
      </c>
      <c r="I114" s="19">
        <v>40.0</v>
      </c>
      <c r="J114" s="19">
        <v>1.0</v>
      </c>
      <c r="K114" s="19">
        <v>3.4</v>
      </c>
      <c r="L114" s="19">
        <v>48.0</v>
      </c>
      <c r="M114" s="19">
        <v>53.0</v>
      </c>
      <c r="N114" s="19">
        <v>7.0</v>
      </c>
      <c r="O114" s="19" t="s">
        <v>143</v>
      </c>
      <c r="P114" s="19" t="s">
        <v>168</v>
      </c>
      <c r="Q114" s="20">
        <f t="shared" si="4"/>
        <v>1.142857143</v>
      </c>
      <c r="R114" s="20">
        <f t="shared" si="5"/>
        <v>0.925</v>
      </c>
      <c r="S114" s="20">
        <f t="shared" si="6"/>
        <v>0.025</v>
      </c>
      <c r="T114" s="20">
        <f t="shared" si="7"/>
        <v>0.9056603774</v>
      </c>
      <c r="U114" s="20">
        <f>IF(B114="","",MIN(Q114/Targets!$B$2,1)*Targets!$D$2+MIN(G114/100/Targets!$B$3,1)*Targets!$D$3+MIN(T114/Targets!$B$4,1)*Targets!$D$4+MIN(R114/Targets!$B$5,1)*Targets!$D$5+MIN(N114/Targets!$B$6,1)*Targets!$D$6+MIN(Targets!$B$7/MAX(S114,0.0001),1)*Targets!$D$7)</f>
        <v>0.6998621554</v>
      </c>
    </row>
    <row r="115">
      <c r="A115" s="18">
        <v>46223.0</v>
      </c>
      <c r="B115" s="19" t="s">
        <v>115</v>
      </c>
      <c r="C115" s="19" t="s">
        <v>167</v>
      </c>
      <c r="D115" s="19" t="s">
        <v>121</v>
      </c>
      <c r="E115" s="14">
        <f t="shared" si="1"/>
        <v>16</v>
      </c>
      <c r="F115" s="19">
        <f t="shared" si="2"/>
        <v>7</v>
      </c>
      <c r="G115" s="20">
        <f t="shared" si="3"/>
        <v>0.4375</v>
      </c>
      <c r="H115" s="19">
        <v>38.0</v>
      </c>
      <c r="I115" s="19">
        <v>40.0</v>
      </c>
      <c r="J115" s="19">
        <v>3.0</v>
      </c>
      <c r="K115" s="19">
        <v>1.7</v>
      </c>
      <c r="L115" s="19">
        <v>56.0</v>
      </c>
      <c r="M115" s="19">
        <v>57.0</v>
      </c>
      <c r="N115" s="19">
        <v>7.5</v>
      </c>
      <c r="O115" s="19" t="s">
        <v>143</v>
      </c>
      <c r="P115" s="19" t="s">
        <v>178</v>
      </c>
      <c r="Q115" s="20">
        <f t="shared" si="4"/>
        <v>0.4375</v>
      </c>
      <c r="R115" s="20">
        <f t="shared" si="5"/>
        <v>0.95</v>
      </c>
      <c r="S115" s="20">
        <f t="shared" si="6"/>
        <v>0.075</v>
      </c>
      <c r="T115" s="20">
        <f t="shared" si="7"/>
        <v>0.9824561404</v>
      </c>
      <c r="U115" s="20">
        <f>IF(B115="","",MIN(Q115/Targets!$B$2,1)*Targets!$D$2+MIN(G115/100/Targets!$B$3,1)*Targets!$D$3+MIN(T115/Targets!$B$4,1)*Targets!$D$4+MIN(R115/Targets!$B$5,1)*Targets!$D$5+MIN(N115/Targets!$B$6,1)*Targets!$D$6+MIN(Targets!$B$7/MAX(S115,0.0001),1)*Targets!$D$7)</f>
        <v>0.5653472222</v>
      </c>
    </row>
    <row r="116">
      <c r="A116" s="18">
        <v>46223.0</v>
      </c>
      <c r="B116" s="19" t="s">
        <v>118</v>
      </c>
      <c r="C116" s="19" t="s">
        <v>169</v>
      </c>
      <c r="D116" s="19" t="s">
        <v>121</v>
      </c>
      <c r="E116" s="14">
        <f t="shared" si="1"/>
        <v>6</v>
      </c>
      <c r="F116" s="19">
        <f t="shared" si="2"/>
        <v>6</v>
      </c>
      <c r="G116" s="20">
        <f t="shared" si="3"/>
        <v>1</v>
      </c>
      <c r="H116" s="19">
        <v>18.0</v>
      </c>
      <c r="I116" s="19">
        <v>23.0</v>
      </c>
      <c r="J116" s="19">
        <v>1.0</v>
      </c>
      <c r="K116" s="19">
        <v>5.2</v>
      </c>
      <c r="L116" s="19">
        <v>31.0</v>
      </c>
      <c r="M116" s="19">
        <v>44.0</v>
      </c>
      <c r="N116" s="19">
        <v>7.2</v>
      </c>
      <c r="O116" s="19" t="s">
        <v>143</v>
      </c>
      <c r="P116" s="19" t="s">
        <v>189</v>
      </c>
      <c r="Q116" s="20">
        <f t="shared" si="4"/>
        <v>1</v>
      </c>
      <c r="R116" s="20">
        <f t="shared" si="5"/>
        <v>0.7826086957</v>
      </c>
      <c r="S116" s="20">
        <f t="shared" si="6"/>
        <v>0.04347826087</v>
      </c>
      <c r="T116" s="20">
        <f t="shared" si="7"/>
        <v>0.7045454545</v>
      </c>
      <c r="U116" s="20">
        <f>IF(B116="","",MIN(Q116/Targets!$B$2,1)*Targets!$D$2+MIN(G116/100/Targets!$B$3,1)*Targets!$D$3+MIN(T116/Targets!$B$4,1)*Targets!$D$4+MIN(R116/Targets!$B$5,1)*Targets!$D$5+MIN(N116/Targets!$B$6,1)*Targets!$D$6+MIN(Targets!$B$7/MAX(S116,0.0001),1)*Targets!$D$7)</f>
        <v>0.6443273698</v>
      </c>
    </row>
    <row r="117">
      <c r="A117" s="18">
        <v>46223.0</v>
      </c>
      <c r="B117" s="19" t="s">
        <v>123</v>
      </c>
      <c r="C117" s="19" t="s">
        <v>171</v>
      </c>
      <c r="D117" s="19" t="s">
        <v>121</v>
      </c>
      <c r="E117" s="14">
        <f t="shared" si="1"/>
        <v>13</v>
      </c>
      <c r="F117" s="19">
        <f t="shared" si="2"/>
        <v>12</v>
      </c>
      <c r="G117" s="20">
        <f t="shared" si="3"/>
        <v>0.9230769231</v>
      </c>
      <c r="H117" s="19">
        <v>33.0</v>
      </c>
      <c r="I117" s="19">
        <v>39.0</v>
      </c>
      <c r="J117" s="19">
        <v>1.0</v>
      </c>
      <c r="K117" s="19">
        <v>2.8</v>
      </c>
      <c r="L117" s="19">
        <v>48.0</v>
      </c>
      <c r="M117" s="19">
        <v>57.0</v>
      </c>
      <c r="N117" s="19">
        <v>6.5</v>
      </c>
      <c r="O117" s="19" t="s">
        <v>143</v>
      </c>
      <c r="P117" s="19" t="s">
        <v>168</v>
      </c>
      <c r="Q117" s="20">
        <f t="shared" si="4"/>
        <v>0.9230769231</v>
      </c>
      <c r="R117" s="20">
        <f t="shared" si="5"/>
        <v>0.8461538462</v>
      </c>
      <c r="S117" s="20">
        <f t="shared" si="6"/>
        <v>0.02564102564</v>
      </c>
      <c r="T117" s="20">
        <f t="shared" si="7"/>
        <v>0.8421052632</v>
      </c>
      <c r="U117" s="20">
        <f>IF(B117="","",MIN(Q117/Targets!$B$2,1)*Targets!$D$2+MIN(G117/100/Targets!$B$3,1)*Targets!$D$3+MIN(T117/Targets!$B$4,1)*Targets!$D$4+MIN(R117/Targets!$B$5,1)*Targets!$D$5+MIN(N117/Targets!$B$6,1)*Targets!$D$6+MIN(Targets!$B$7/MAX(S117,0.0001),1)*Targets!$D$7)</f>
        <v>0.669888182</v>
      </c>
    </row>
    <row r="118">
      <c r="A118" s="18">
        <v>46223.0</v>
      </c>
      <c r="B118" s="19" t="s">
        <v>126</v>
      </c>
      <c r="C118" s="19" t="s">
        <v>179</v>
      </c>
      <c r="D118" s="19" t="s">
        <v>121</v>
      </c>
      <c r="E118" s="14">
        <f t="shared" si="1"/>
        <v>16</v>
      </c>
      <c r="F118" s="19">
        <f t="shared" si="2"/>
        <v>8</v>
      </c>
      <c r="G118" s="20">
        <f t="shared" si="3"/>
        <v>0.5</v>
      </c>
      <c r="H118" s="19">
        <v>44.0</v>
      </c>
      <c r="I118" s="19">
        <v>47.0</v>
      </c>
      <c r="J118" s="19">
        <v>4.0</v>
      </c>
      <c r="K118" s="19">
        <v>2.7</v>
      </c>
      <c r="L118" s="19">
        <v>50.0</v>
      </c>
      <c r="M118" s="19">
        <v>61.0</v>
      </c>
      <c r="N118" s="19">
        <v>7.5</v>
      </c>
      <c r="O118" s="19" t="s">
        <v>143</v>
      </c>
      <c r="P118" s="19" t="s">
        <v>187</v>
      </c>
      <c r="Q118" s="20">
        <f t="shared" si="4"/>
        <v>0.5</v>
      </c>
      <c r="R118" s="20">
        <f t="shared" si="5"/>
        <v>0.9361702128</v>
      </c>
      <c r="S118" s="20">
        <f t="shared" si="6"/>
        <v>0.08510638298</v>
      </c>
      <c r="T118" s="20">
        <f t="shared" si="7"/>
        <v>0.8196721311</v>
      </c>
      <c r="U118" s="20">
        <f>IF(B118="","",MIN(Q118/Targets!$B$2,1)*Targets!$D$2+MIN(G118/100/Targets!$B$3,1)*Targets!$D$3+MIN(T118/Targets!$B$4,1)*Targets!$D$4+MIN(R118/Targets!$B$5,1)*Targets!$D$5+MIN(N118/Targets!$B$6,1)*Targets!$D$6+MIN(Targets!$B$7/MAX(S118,0.0001),1)*Targets!$D$7)</f>
        <v>0.555956149</v>
      </c>
    </row>
    <row r="119">
      <c r="A119" s="18">
        <v>46223.0</v>
      </c>
      <c r="B119" s="19" t="s">
        <v>129</v>
      </c>
      <c r="C119" s="19" t="s">
        <v>188</v>
      </c>
      <c r="D119" s="19" t="s">
        <v>121</v>
      </c>
      <c r="E119" s="14">
        <f t="shared" si="1"/>
        <v>13</v>
      </c>
      <c r="F119" s="19">
        <f t="shared" si="2"/>
        <v>15</v>
      </c>
      <c r="G119" s="20">
        <f t="shared" si="3"/>
        <v>1.153846154</v>
      </c>
      <c r="H119" s="19">
        <v>33.0</v>
      </c>
      <c r="I119" s="19">
        <v>35.0</v>
      </c>
      <c r="J119" s="19">
        <v>1.0</v>
      </c>
      <c r="K119" s="19">
        <v>2.2</v>
      </c>
      <c r="L119" s="19">
        <v>44.0</v>
      </c>
      <c r="M119" s="19">
        <v>51.0</v>
      </c>
      <c r="N119" s="19">
        <v>7.8</v>
      </c>
      <c r="O119" s="19" t="s">
        <v>143</v>
      </c>
      <c r="P119" s="19" t="s">
        <v>168</v>
      </c>
      <c r="Q119" s="20">
        <f t="shared" si="4"/>
        <v>1.153846154</v>
      </c>
      <c r="R119" s="20">
        <f t="shared" si="5"/>
        <v>0.9428571429</v>
      </c>
      <c r="S119" s="20">
        <f t="shared" si="6"/>
        <v>0.02857142857</v>
      </c>
      <c r="T119" s="20">
        <f t="shared" si="7"/>
        <v>0.862745098</v>
      </c>
      <c r="U119" s="20">
        <f>IF(B119="","",MIN(Q119/Targets!$B$2,1)*Targets!$D$2+MIN(G119/100/Targets!$B$3,1)*Targets!$D$3+MIN(T119/Targets!$B$4,1)*Targets!$D$4+MIN(R119/Targets!$B$5,1)*Targets!$D$5+MIN(N119/Targets!$B$6,1)*Targets!$D$6+MIN(Targets!$B$7/MAX(S119,0.0001),1)*Targets!$D$7)</f>
        <v>0.696509184</v>
      </c>
    </row>
    <row r="120">
      <c r="A120" s="18">
        <v>46223.0</v>
      </c>
      <c r="B120" s="19" t="s">
        <v>132</v>
      </c>
      <c r="C120" s="19" t="s">
        <v>190</v>
      </c>
      <c r="D120" s="19" t="s">
        <v>121</v>
      </c>
      <c r="E120" s="14">
        <f t="shared" si="1"/>
        <v>6</v>
      </c>
      <c r="F120" s="19">
        <f t="shared" si="2"/>
        <v>10</v>
      </c>
      <c r="G120" s="20">
        <f t="shared" si="3"/>
        <v>1.666666667</v>
      </c>
      <c r="H120" s="19">
        <v>39.0</v>
      </c>
      <c r="I120" s="19">
        <v>43.0</v>
      </c>
      <c r="J120" s="19">
        <v>3.0</v>
      </c>
      <c r="K120" s="19">
        <v>2.5</v>
      </c>
      <c r="L120" s="19">
        <v>52.0</v>
      </c>
      <c r="M120" s="19">
        <v>62.0</v>
      </c>
      <c r="N120" s="19">
        <v>7.1</v>
      </c>
      <c r="O120" s="19" t="s">
        <v>143</v>
      </c>
      <c r="P120" s="19" t="s">
        <v>187</v>
      </c>
      <c r="Q120" s="20">
        <f t="shared" si="4"/>
        <v>1.666666667</v>
      </c>
      <c r="R120" s="20">
        <f t="shared" si="5"/>
        <v>0.9069767442</v>
      </c>
      <c r="S120" s="20">
        <f t="shared" si="6"/>
        <v>0.06976744186</v>
      </c>
      <c r="T120" s="20">
        <f t="shared" si="7"/>
        <v>0.8387096774</v>
      </c>
      <c r="U120" s="20">
        <f>IF(B120="","",MIN(Q120/Targets!$B$2,1)*Targets!$D$2+MIN(G120/100/Targets!$B$3,1)*Targets!$D$3+MIN(T120/Targets!$B$4,1)*Targets!$D$4+MIN(R120/Targets!$B$5,1)*Targets!$D$5+MIN(N120/Targets!$B$6,1)*Targets!$D$6+MIN(Targets!$B$7/MAX(S120,0.0001),1)*Targets!$D$7)</f>
        <v>0.6602140228</v>
      </c>
    </row>
    <row r="121">
      <c r="A121" s="18">
        <v>46223.0</v>
      </c>
      <c r="B121" s="19" t="s">
        <v>135</v>
      </c>
      <c r="C121" s="19" t="s">
        <v>169</v>
      </c>
      <c r="D121" s="19" t="s">
        <v>121</v>
      </c>
      <c r="E121" s="14">
        <f t="shared" si="1"/>
        <v>11</v>
      </c>
      <c r="F121" s="19">
        <f t="shared" si="2"/>
        <v>8</v>
      </c>
      <c r="G121" s="20">
        <f t="shared" si="3"/>
        <v>0.7272727273</v>
      </c>
      <c r="H121" s="19">
        <v>22.0</v>
      </c>
      <c r="I121" s="19">
        <v>26.0</v>
      </c>
      <c r="J121" s="19">
        <v>0.0</v>
      </c>
      <c r="K121" s="19">
        <v>5.6</v>
      </c>
      <c r="L121" s="19">
        <v>35.0</v>
      </c>
      <c r="M121" s="19">
        <v>46.0</v>
      </c>
      <c r="N121" s="19">
        <v>5.4</v>
      </c>
      <c r="O121" s="19" t="s">
        <v>143</v>
      </c>
      <c r="P121" s="19" t="s">
        <v>189</v>
      </c>
      <c r="Q121" s="20">
        <f t="shared" si="4"/>
        <v>0.7272727273</v>
      </c>
      <c r="R121" s="20">
        <f t="shared" si="5"/>
        <v>0.8461538462</v>
      </c>
      <c r="S121" s="20">
        <f t="shared" si="6"/>
        <v>0</v>
      </c>
      <c r="T121" s="20">
        <f t="shared" si="7"/>
        <v>0.7608695652</v>
      </c>
      <c r="U121" s="20">
        <f>IF(B121="","",MIN(Q121/Targets!$B$2,1)*Targets!$D$2+MIN(G121/100/Targets!$B$3,1)*Targets!$D$3+MIN(T121/Targets!$B$4,1)*Targets!$D$4+MIN(R121/Targets!$B$5,1)*Targets!$D$5+MIN(N121/Targets!$B$6,1)*Targets!$D$6+MIN(Targets!$B$7/MAX(S121,0.0001),1)*Targets!$D$7)</f>
        <v>0.6015980943</v>
      </c>
    </row>
    <row r="122">
      <c r="A122" s="18">
        <v>46224.0</v>
      </c>
      <c r="B122" s="19" t="s">
        <v>10</v>
      </c>
      <c r="C122" s="19" t="s">
        <v>14</v>
      </c>
      <c r="D122" s="19" t="s">
        <v>121</v>
      </c>
      <c r="E122" s="14">
        <f t="shared" si="1"/>
        <v>6</v>
      </c>
      <c r="F122" s="19">
        <f t="shared" si="2"/>
        <v>15</v>
      </c>
      <c r="G122" s="20">
        <f t="shared" si="3"/>
        <v>2.5</v>
      </c>
      <c r="H122" s="19">
        <v>40.0</v>
      </c>
      <c r="I122" s="19">
        <v>43.0</v>
      </c>
      <c r="J122" s="19">
        <v>1.0</v>
      </c>
      <c r="K122" s="19">
        <v>2.9</v>
      </c>
      <c r="L122" s="19">
        <v>56.0</v>
      </c>
      <c r="M122" s="19">
        <v>60.0</v>
      </c>
      <c r="N122" s="19">
        <v>8.2</v>
      </c>
      <c r="O122" s="19" t="s">
        <v>143</v>
      </c>
      <c r="P122" s="19" t="s">
        <v>187</v>
      </c>
      <c r="Q122" s="20">
        <f t="shared" si="4"/>
        <v>2.5</v>
      </c>
      <c r="R122" s="20">
        <f t="shared" si="5"/>
        <v>0.9302325581</v>
      </c>
      <c r="S122" s="20">
        <f t="shared" si="6"/>
        <v>0.02325581395</v>
      </c>
      <c r="T122" s="20">
        <f t="shared" si="7"/>
        <v>0.9333333333</v>
      </c>
      <c r="U122" s="20">
        <f>IF(B122="","",MIN(Q122/Targets!$B$2,1)*Targets!$D$2+MIN(G122/100/Targets!$B$3,1)*Targets!$D$3+MIN(T122/Targets!$B$4,1)*Targets!$D$4+MIN(R122/Targets!$B$5,1)*Targets!$D$5+MIN(N122/Targets!$B$6,1)*Targets!$D$6+MIN(Targets!$B$7/MAX(S122,0.0001),1)*Targets!$D$7)</f>
        <v>0.7052121583</v>
      </c>
    </row>
    <row r="123">
      <c r="A123" s="18">
        <v>46224.0</v>
      </c>
      <c r="B123" s="19" t="s">
        <v>25</v>
      </c>
      <c r="C123" s="19" t="s">
        <v>167</v>
      </c>
      <c r="D123" s="19" t="s">
        <v>121</v>
      </c>
      <c r="E123" s="14">
        <f t="shared" si="1"/>
        <v>16</v>
      </c>
      <c r="F123" s="19">
        <f t="shared" si="2"/>
        <v>10</v>
      </c>
      <c r="G123" s="20">
        <f t="shared" si="3"/>
        <v>0.625</v>
      </c>
      <c r="H123" s="19">
        <v>54.0</v>
      </c>
      <c r="I123" s="19">
        <v>57.0</v>
      </c>
      <c r="J123" s="19">
        <v>1.0</v>
      </c>
      <c r="K123" s="19">
        <v>2.7</v>
      </c>
      <c r="L123" s="19">
        <v>58.0</v>
      </c>
      <c r="M123" s="19">
        <v>63.0</v>
      </c>
      <c r="N123" s="19">
        <v>7.7</v>
      </c>
      <c r="O123" s="19" t="s">
        <v>143</v>
      </c>
      <c r="P123" s="19" t="s">
        <v>178</v>
      </c>
      <c r="Q123" s="20">
        <f t="shared" si="4"/>
        <v>0.625</v>
      </c>
      <c r="R123" s="20">
        <f t="shared" si="5"/>
        <v>0.9473684211</v>
      </c>
      <c r="S123" s="20">
        <f t="shared" si="6"/>
        <v>0.01754385965</v>
      </c>
      <c r="T123" s="20">
        <f t="shared" si="7"/>
        <v>0.9206349206</v>
      </c>
      <c r="U123" s="20">
        <f>IF(B123="","",MIN(Q123/Targets!$B$2,1)*Targets!$D$2+MIN(G123/100/Targets!$B$3,1)*Targets!$D$3+MIN(T123/Targets!$B$4,1)*Targets!$D$4+MIN(R123/Targets!$B$5,1)*Targets!$D$5+MIN(N123/Targets!$B$6,1)*Targets!$D$6+MIN(Targets!$B$7/MAX(S123,0.0001),1)*Targets!$D$7)</f>
        <v>0.6405567098</v>
      </c>
    </row>
    <row r="124">
      <c r="A124" s="18">
        <v>46224.0</v>
      </c>
      <c r="B124" s="19" t="s">
        <v>37</v>
      </c>
      <c r="C124" s="19" t="s">
        <v>169</v>
      </c>
      <c r="D124" s="19" t="s">
        <v>121</v>
      </c>
      <c r="E124" s="14">
        <f t="shared" si="1"/>
        <v>11</v>
      </c>
      <c r="F124" s="19">
        <f t="shared" si="2"/>
        <v>7</v>
      </c>
      <c r="G124" s="20">
        <f t="shared" si="3"/>
        <v>0.6363636364</v>
      </c>
      <c r="H124" s="19">
        <v>22.0</v>
      </c>
      <c r="I124" s="19">
        <v>27.0</v>
      </c>
      <c r="J124" s="19">
        <v>1.0</v>
      </c>
      <c r="K124" s="19">
        <v>5.4</v>
      </c>
      <c r="L124" s="19">
        <v>34.0</v>
      </c>
      <c r="M124" s="19">
        <v>44.0</v>
      </c>
      <c r="N124" s="19">
        <v>6.1</v>
      </c>
      <c r="O124" s="19" t="s">
        <v>143</v>
      </c>
      <c r="P124" s="19" t="s">
        <v>168</v>
      </c>
      <c r="Q124" s="20">
        <f t="shared" si="4"/>
        <v>0.6363636364</v>
      </c>
      <c r="R124" s="20">
        <f t="shared" si="5"/>
        <v>0.8148148148</v>
      </c>
      <c r="S124" s="20">
        <f t="shared" si="6"/>
        <v>0.03703703704</v>
      </c>
      <c r="T124" s="20">
        <f t="shared" si="7"/>
        <v>0.7727272727</v>
      </c>
      <c r="U124" s="20">
        <f>IF(B124="","",MIN(Q124/Targets!$B$2,1)*Targets!$D$2+MIN(G124/100/Targets!$B$3,1)*Targets!$D$3+MIN(T124/Targets!$B$4,1)*Targets!$D$4+MIN(R124/Targets!$B$5,1)*Targets!$D$5+MIN(N124/Targets!$B$6,1)*Targets!$D$6+MIN(Targets!$B$7/MAX(S124,0.0001),1)*Targets!$D$7)</f>
        <v>0.5881210602</v>
      </c>
    </row>
    <row r="125">
      <c r="A125" s="18">
        <v>46224.0</v>
      </c>
      <c r="B125" s="19" t="s">
        <v>42</v>
      </c>
      <c r="C125" s="19" t="s">
        <v>171</v>
      </c>
      <c r="D125" s="19" t="s">
        <v>121</v>
      </c>
      <c r="E125" s="14">
        <f t="shared" si="1"/>
        <v>15</v>
      </c>
      <c r="F125" s="19">
        <f t="shared" si="2"/>
        <v>8</v>
      </c>
      <c r="G125" s="20">
        <f t="shared" si="3"/>
        <v>0.5333333333</v>
      </c>
      <c r="H125" s="19">
        <v>33.0</v>
      </c>
      <c r="I125" s="19">
        <v>36.0</v>
      </c>
      <c r="J125" s="19">
        <v>1.0</v>
      </c>
      <c r="K125" s="19">
        <v>3.5</v>
      </c>
      <c r="L125" s="19">
        <v>37.0</v>
      </c>
      <c r="M125" s="19">
        <v>44.0</v>
      </c>
      <c r="N125" s="19">
        <v>6.7</v>
      </c>
      <c r="O125" s="19" t="s">
        <v>143</v>
      </c>
      <c r="P125" s="19" t="s">
        <v>178</v>
      </c>
      <c r="Q125" s="20">
        <f t="shared" si="4"/>
        <v>0.5333333333</v>
      </c>
      <c r="R125" s="20">
        <f t="shared" si="5"/>
        <v>0.9166666667</v>
      </c>
      <c r="S125" s="20">
        <f t="shared" si="6"/>
        <v>0.02777777778</v>
      </c>
      <c r="T125" s="20">
        <f t="shared" si="7"/>
        <v>0.8409090909</v>
      </c>
      <c r="U125" s="20">
        <f>IF(B125="","",MIN(Q125/Targets!$B$2,1)*Targets!$D$2+MIN(G125/100/Targets!$B$3,1)*Targets!$D$3+MIN(T125/Targets!$B$4,1)*Targets!$D$4+MIN(R125/Targets!$B$5,1)*Targets!$D$5+MIN(N125/Targets!$B$6,1)*Targets!$D$6+MIN(Targets!$B$7/MAX(S125,0.0001),1)*Targets!$D$7)</f>
        <v>0.6008989393</v>
      </c>
    </row>
    <row r="126">
      <c r="A126" s="18">
        <v>46224.0</v>
      </c>
      <c r="B126" s="19" t="s">
        <v>46</v>
      </c>
      <c r="C126" s="19" t="s">
        <v>179</v>
      </c>
      <c r="D126" s="19" t="s">
        <v>121</v>
      </c>
      <c r="E126" s="14">
        <f t="shared" si="1"/>
        <v>15</v>
      </c>
      <c r="F126" s="19">
        <f t="shared" si="2"/>
        <v>6</v>
      </c>
      <c r="G126" s="20">
        <f t="shared" si="3"/>
        <v>0.4</v>
      </c>
      <c r="H126" s="19">
        <v>28.0</v>
      </c>
      <c r="I126" s="19">
        <v>32.0</v>
      </c>
      <c r="J126" s="19">
        <v>2.0</v>
      </c>
      <c r="K126" s="19">
        <v>3.9</v>
      </c>
      <c r="L126" s="19">
        <v>45.0</v>
      </c>
      <c r="M126" s="19">
        <v>48.0</v>
      </c>
      <c r="N126" s="19">
        <v>7.0</v>
      </c>
      <c r="O126" s="19" t="s">
        <v>143</v>
      </c>
      <c r="P126" s="19" t="s">
        <v>191</v>
      </c>
      <c r="Q126" s="20">
        <f t="shared" si="4"/>
        <v>0.4</v>
      </c>
      <c r="R126" s="20">
        <f t="shared" si="5"/>
        <v>0.875</v>
      </c>
      <c r="S126" s="20">
        <f t="shared" si="6"/>
        <v>0.0625</v>
      </c>
      <c r="T126" s="20">
        <f t="shared" si="7"/>
        <v>0.9375</v>
      </c>
      <c r="U126" s="20">
        <f>IF(B126="","",MIN(Q126/Targets!$B$2,1)*Targets!$D$2+MIN(G126/100/Targets!$B$3,1)*Targets!$D$3+MIN(T126/Targets!$B$4,1)*Targets!$D$4+MIN(R126/Targets!$B$5,1)*Targets!$D$5+MIN(N126/Targets!$B$6,1)*Targets!$D$6+MIN(Targets!$B$7/MAX(S126,0.0001),1)*Targets!$D$7)</f>
        <v>0.558380117</v>
      </c>
    </row>
    <row r="127">
      <c r="A127" s="18">
        <v>46224.0</v>
      </c>
      <c r="B127" s="19" t="s">
        <v>53</v>
      </c>
      <c r="C127" s="19" t="s">
        <v>14</v>
      </c>
      <c r="D127" s="19" t="s">
        <v>121</v>
      </c>
      <c r="E127" s="14">
        <f t="shared" si="1"/>
        <v>9</v>
      </c>
      <c r="F127" s="19">
        <f t="shared" si="2"/>
        <v>12</v>
      </c>
      <c r="G127" s="20">
        <f t="shared" si="3"/>
        <v>1.333333333</v>
      </c>
      <c r="H127" s="19">
        <v>36.0</v>
      </c>
      <c r="I127" s="19">
        <v>42.0</v>
      </c>
      <c r="J127" s="19">
        <v>3.0</v>
      </c>
      <c r="K127" s="19">
        <v>3.8</v>
      </c>
      <c r="L127" s="19">
        <v>44.0</v>
      </c>
      <c r="M127" s="19">
        <v>51.0</v>
      </c>
      <c r="N127" s="19">
        <v>7.6</v>
      </c>
      <c r="O127" s="19" t="s">
        <v>143</v>
      </c>
      <c r="P127" s="19" t="s">
        <v>189</v>
      </c>
      <c r="Q127" s="20">
        <f t="shared" si="4"/>
        <v>1.333333333</v>
      </c>
      <c r="R127" s="20">
        <f t="shared" si="5"/>
        <v>0.8571428571</v>
      </c>
      <c r="S127" s="20">
        <f t="shared" si="6"/>
        <v>0.07142857143</v>
      </c>
      <c r="T127" s="20">
        <f t="shared" si="7"/>
        <v>0.862745098</v>
      </c>
      <c r="U127" s="20">
        <f>IF(B127="","",MIN(Q127/Targets!$B$2,1)*Targets!$D$2+MIN(G127/100/Targets!$B$3,1)*Targets!$D$3+MIN(T127/Targets!$B$4,1)*Targets!$D$4+MIN(R127/Targets!$B$5,1)*Targets!$D$5+MIN(N127/Targets!$B$6,1)*Targets!$D$6+MIN(Targets!$B$7/MAX(S127,0.0001),1)*Targets!$D$7)</f>
        <v>0.65357364</v>
      </c>
    </row>
    <row r="128">
      <c r="A128" s="18">
        <v>46224.0</v>
      </c>
      <c r="B128" s="19" t="s">
        <v>65</v>
      </c>
      <c r="C128" s="19" t="s">
        <v>167</v>
      </c>
      <c r="D128" s="19" t="s">
        <v>121</v>
      </c>
      <c r="E128" s="14">
        <f t="shared" si="1"/>
        <v>16</v>
      </c>
      <c r="F128" s="19">
        <f t="shared" si="2"/>
        <v>6</v>
      </c>
      <c r="G128" s="20">
        <f t="shared" si="3"/>
        <v>0.375</v>
      </c>
      <c r="H128" s="19">
        <v>53.0</v>
      </c>
      <c r="I128" s="19">
        <v>57.0</v>
      </c>
      <c r="J128" s="19">
        <v>3.0</v>
      </c>
      <c r="K128" s="19">
        <v>1.7</v>
      </c>
      <c r="L128" s="19">
        <v>57.0</v>
      </c>
      <c r="M128" s="19">
        <v>59.0</v>
      </c>
      <c r="N128" s="19">
        <v>7.9</v>
      </c>
      <c r="O128" s="19" t="s">
        <v>143</v>
      </c>
      <c r="P128" s="19" t="s">
        <v>191</v>
      </c>
      <c r="Q128" s="20">
        <f t="shared" si="4"/>
        <v>0.375</v>
      </c>
      <c r="R128" s="20">
        <f t="shared" si="5"/>
        <v>0.9298245614</v>
      </c>
      <c r="S128" s="20">
        <f t="shared" si="6"/>
        <v>0.05263157895</v>
      </c>
      <c r="T128" s="20">
        <f t="shared" si="7"/>
        <v>0.9661016949</v>
      </c>
      <c r="U128" s="20">
        <f>IF(B128="","",MIN(Q128/Targets!$B$2,1)*Targets!$D$2+MIN(G128/100/Targets!$B$3,1)*Targets!$D$3+MIN(T128/Targets!$B$4,1)*Targets!$D$4+MIN(R128/Targets!$B$5,1)*Targets!$D$5+MIN(N128/Targets!$B$6,1)*Targets!$D$6+MIN(Targets!$B$7/MAX(S128,0.0001),1)*Targets!$D$7)</f>
        <v>0.5763977378</v>
      </c>
    </row>
    <row r="129">
      <c r="A129" s="18">
        <v>46224.0</v>
      </c>
      <c r="B129" s="19" t="s">
        <v>73</v>
      </c>
      <c r="C129" s="19" t="s">
        <v>169</v>
      </c>
      <c r="D129" s="19" t="s">
        <v>121</v>
      </c>
      <c r="E129" s="14">
        <f t="shared" si="1"/>
        <v>13</v>
      </c>
      <c r="F129" s="19">
        <f t="shared" si="2"/>
        <v>15</v>
      </c>
      <c r="G129" s="20">
        <f t="shared" si="3"/>
        <v>1.153846154</v>
      </c>
      <c r="H129" s="19">
        <v>43.0</v>
      </c>
      <c r="I129" s="19">
        <v>45.0</v>
      </c>
      <c r="J129" s="19">
        <v>1.0</v>
      </c>
      <c r="K129" s="19">
        <v>1.8</v>
      </c>
      <c r="L129" s="19">
        <v>52.0</v>
      </c>
      <c r="M129" s="19">
        <v>59.0</v>
      </c>
      <c r="N129" s="19">
        <v>7.5</v>
      </c>
      <c r="O129" s="19" t="s">
        <v>143</v>
      </c>
      <c r="P129" s="19" t="s">
        <v>186</v>
      </c>
      <c r="Q129" s="20">
        <f t="shared" si="4"/>
        <v>1.153846154</v>
      </c>
      <c r="R129" s="20">
        <f t="shared" si="5"/>
        <v>0.9555555556</v>
      </c>
      <c r="S129" s="20">
        <f t="shared" si="6"/>
        <v>0.02222222222</v>
      </c>
      <c r="T129" s="20">
        <f t="shared" si="7"/>
        <v>0.8813559322</v>
      </c>
      <c r="U129" s="20">
        <f>IF(B129="","",MIN(Q129/Targets!$B$2,1)*Targets!$D$2+MIN(G129/100/Targets!$B$3,1)*Targets!$D$3+MIN(T129/Targets!$B$4,1)*Targets!$D$4+MIN(R129/Targets!$B$5,1)*Targets!$D$5+MIN(N129/Targets!$B$6,1)*Targets!$D$6+MIN(Targets!$B$7/MAX(S129,0.0001),1)*Targets!$D$7)</f>
        <v>0.7007388092</v>
      </c>
    </row>
    <row r="130">
      <c r="A130" s="18">
        <v>46224.0</v>
      </c>
      <c r="B130" s="19" t="s">
        <v>78</v>
      </c>
      <c r="C130" s="19" t="s">
        <v>171</v>
      </c>
      <c r="D130" s="19" t="s">
        <v>121</v>
      </c>
      <c r="E130" s="14">
        <f t="shared" si="1"/>
        <v>15</v>
      </c>
      <c r="F130" s="19">
        <f t="shared" si="2"/>
        <v>12</v>
      </c>
      <c r="G130" s="20">
        <f t="shared" si="3"/>
        <v>0.8</v>
      </c>
      <c r="H130" s="19">
        <v>43.0</v>
      </c>
      <c r="I130" s="19">
        <v>45.0</v>
      </c>
      <c r="J130" s="19">
        <v>3.0</v>
      </c>
      <c r="K130" s="19">
        <v>2.0</v>
      </c>
      <c r="L130" s="19">
        <v>56.0</v>
      </c>
      <c r="M130" s="19">
        <v>59.0</v>
      </c>
      <c r="N130" s="19">
        <v>7.4</v>
      </c>
      <c r="O130" s="19" t="s">
        <v>143</v>
      </c>
      <c r="P130" s="19" t="s">
        <v>189</v>
      </c>
      <c r="Q130" s="20">
        <f t="shared" si="4"/>
        <v>0.8</v>
      </c>
      <c r="R130" s="20">
        <f t="shared" si="5"/>
        <v>0.9555555556</v>
      </c>
      <c r="S130" s="20">
        <f t="shared" si="6"/>
        <v>0.06666666667</v>
      </c>
      <c r="T130" s="20">
        <f t="shared" si="7"/>
        <v>0.9491525424</v>
      </c>
      <c r="U130" s="20">
        <f>IF(B130="","",MIN(Q130/Targets!$B$2,1)*Targets!$D$2+MIN(G130/100/Targets!$B$3,1)*Targets!$D$3+MIN(T130/Targets!$B$4,1)*Targets!$D$4+MIN(R130/Targets!$B$5,1)*Targets!$D$5+MIN(N130/Targets!$B$6,1)*Targets!$D$6+MIN(Targets!$B$7/MAX(S130,0.0001),1)*Targets!$D$7)</f>
        <v>0.6554444444</v>
      </c>
    </row>
    <row r="131">
      <c r="A131" s="18">
        <v>46224.0</v>
      </c>
      <c r="B131" s="19" t="s">
        <v>84</v>
      </c>
      <c r="C131" s="19" t="s">
        <v>179</v>
      </c>
      <c r="D131" s="19" t="s">
        <v>121</v>
      </c>
      <c r="E131" s="14">
        <f t="shared" si="1"/>
        <v>13</v>
      </c>
      <c r="F131" s="19">
        <f t="shared" si="2"/>
        <v>14</v>
      </c>
      <c r="G131" s="20">
        <f t="shared" si="3"/>
        <v>1.076923077</v>
      </c>
      <c r="H131" s="19">
        <v>20.0</v>
      </c>
      <c r="I131" s="19">
        <v>26.0</v>
      </c>
      <c r="J131" s="19">
        <v>0.0</v>
      </c>
      <c r="K131" s="19">
        <v>5.0</v>
      </c>
      <c r="L131" s="19">
        <v>28.0</v>
      </c>
      <c r="M131" s="19">
        <v>46.0</v>
      </c>
      <c r="N131" s="19">
        <v>5.7</v>
      </c>
      <c r="O131" s="19" t="s">
        <v>143</v>
      </c>
      <c r="P131" s="19" t="s">
        <v>187</v>
      </c>
      <c r="Q131" s="20">
        <f t="shared" si="4"/>
        <v>1.076923077</v>
      </c>
      <c r="R131" s="20">
        <f t="shared" si="5"/>
        <v>0.7692307692</v>
      </c>
      <c r="S131" s="20">
        <f t="shared" si="6"/>
        <v>0</v>
      </c>
      <c r="T131" s="20">
        <f t="shared" si="7"/>
        <v>0.6086956522</v>
      </c>
      <c r="U131" s="20">
        <f>IF(B131="","",MIN(Q131/Targets!$B$2,1)*Targets!$D$2+MIN(G131/100/Targets!$B$3,1)*Targets!$D$3+MIN(T131/Targets!$B$4,1)*Targets!$D$4+MIN(R131/Targets!$B$5,1)*Targets!$D$5+MIN(N131/Targets!$B$6,1)*Targets!$D$6+MIN(Targets!$B$7/MAX(S131,0.0001),1)*Targets!$D$7)</f>
        <v>0.6079250803</v>
      </c>
    </row>
    <row r="132">
      <c r="A132" s="18">
        <v>46224.0</v>
      </c>
      <c r="B132" s="19" t="s">
        <v>91</v>
      </c>
      <c r="C132" s="19" t="s">
        <v>188</v>
      </c>
      <c r="D132" s="19" t="s">
        <v>121</v>
      </c>
      <c r="E132" s="14">
        <f t="shared" si="1"/>
        <v>6</v>
      </c>
      <c r="F132" s="19">
        <f t="shared" si="2"/>
        <v>7</v>
      </c>
      <c r="G132" s="20">
        <f t="shared" si="3"/>
        <v>1.166666667</v>
      </c>
      <c r="H132" s="19">
        <v>48.0</v>
      </c>
      <c r="I132" s="19">
        <v>49.0</v>
      </c>
      <c r="J132" s="19">
        <v>1.0</v>
      </c>
      <c r="K132" s="19">
        <v>2.1</v>
      </c>
      <c r="L132" s="19">
        <v>56.0</v>
      </c>
      <c r="M132" s="19">
        <v>59.0</v>
      </c>
      <c r="N132" s="19">
        <v>8.0</v>
      </c>
      <c r="O132" s="19" t="s">
        <v>143</v>
      </c>
      <c r="P132" s="19" t="s">
        <v>186</v>
      </c>
      <c r="Q132" s="20">
        <f t="shared" si="4"/>
        <v>1.166666667</v>
      </c>
      <c r="R132" s="20">
        <f t="shared" si="5"/>
        <v>0.9795918367</v>
      </c>
      <c r="S132" s="20">
        <f t="shared" si="6"/>
        <v>0.02040816327</v>
      </c>
      <c r="T132" s="20">
        <f t="shared" si="7"/>
        <v>0.9491525424</v>
      </c>
      <c r="U132" s="20">
        <f>IF(B132="","",MIN(Q132/Targets!$B$2,1)*Targets!$D$2+MIN(G132/100/Targets!$B$3,1)*Targets!$D$3+MIN(T132/Targets!$B$4,1)*Targets!$D$4+MIN(R132/Targets!$B$5,1)*Targets!$D$5+MIN(N132/Targets!$B$6,1)*Targets!$D$6+MIN(Targets!$B$7/MAX(S132,0.0001),1)*Targets!$D$7)</f>
        <v>0.7038888889</v>
      </c>
    </row>
    <row r="133">
      <c r="A133" s="18">
        <v>46224.0</v>
      </c>
      <c r="B133" s="19" t="s">
        <v>100</v>
      </c>
      <c r="C133" s="19" t="s">
        <v>190</v>
      </c>
      <c r="D133" s="19" t="s">
        <v>121</v>
      </c>
      <c r="E133" s="14">
        <f t="shared" si="1"/>
        <v>13</v>
      </c>
      <c r="F133" s="19">
        <f t="shared" si="2"/>
        <v>14</v>
      </c>
      <c r="G133" s="20">
        <f t="shared" si="3"/>
        <v>1.076923077</v>
      </c>
      <c r="H133" s="19">
        <v>29.0</v>
      </c>
      <c r="I133" s="19">
        <v>32.0</v>
      </c>
      <c r="J133" s="19">
        <v>1.0</v>
      </c>
      <c r="K133" s="19">
        <v>3.6</v>
      </c>
      <c r="L133" s="19">
        <v>43.0</v>
      </c>
      <c r="M133" s="19">
        <v>49.0</v>
      </c>
      <c r="N133" s="19">
        <v>6.4</v>
      </c>
      <c r="O133" s="19" t="s">
        <v>143</v>
      </c>
      <c r="P133" s="19" t="s">
        <v>187</v>
      </c>
      <c r="Q133" s="20">
        <f t="shared" si="4"/>
        <v>1.076923077</v>
      </c>
      <c r="R133" s="20">
        <f t="shared" si="5"/>
        <v>0.90625</v>
      </c>
      <c r="S133" s="20">
        <f t="shared" si="6"/>
        <v>0.03125</v>
      </c>
      <c r="T133" s="20">
        <f t="shared" si="7"/>
        <v>0.8775510204</v>
      </c>
      <c r="U133" s="20">
        <f>IF(B133="","",MIN(Q133/Targets!$B$2,1)*Targets!$D$2+MIN(G133/100/Targets!$B$3,1)*Targets!$D$3+MIN(T133/Targets!$B$4,1)*Targets!$D$4+MIN(R133/Targets!$B$5,1)*Targets!$D$5+MIN(N133/Targets!$B$6,1)*Targets!$D$6+MIN(Targets!$B$7/MAX(S133,0.0001),1)*Targets!$D$7)</f>
        <v>0.6843689237</v>
      </c>
    </row>
    <row r="134">
      <c r="A134" s="18">
        <v>46224.0</v>
      </c>
      <c r="B134" s="19" t="s">
        <v>109</v>
      </c>
      <c r="C134" s="19" t="s">
        <v>14</v>
      </c>
      <c r="D134" s="19" t="s">
        <v>121</v>
      </c>
      <c r="E134" s="14">
        <f t="shared" si="1"/>
        <v>10</v>
      </c>
      <c r="F134" s="19">
        <f t="shared" si="2"/>
        <v>14</v>
      </c>
      <c r="G134" s="20">
        <f t="shared" si="3"/>
        <v>1.4</v>
      </c>
      <c r="H134" s="19">
        <v>45.0</v>
      </c>
      <c r="I134" s="19">
        <v>50.0</v>
      </c>
      <c r="J134" s="19">
        <v>2.0</v>
      </c>
      <c r="K134" s="19">
        <v>3.4</v>
      </c>
      <c r="L134" s="19">
        <v>53.0</v>
      </c>
      <c r="M134" s="19">
        <v>58.0</v>
      </c>
      <c r="N134" s="19">
        <v>7.2</v>
      </c>
      <c r="O134" s="19" t="s">
        <v>143</v>
      </c>
      <c r="P134" s="19" t="s">
        <v>187</v>
      </c>
      <c r="Q134" s="20">
        <f t="shared" si="4"/>
        <v>1.4</v>
      </c>
      <c r="R134" s="20">
        <f t="shared" si="5"/>
        <v>0.9</v>
      </c>
      <c r="S134" s="20">
        <f t="shared" si="6"/>
        <v>0.04</v>
      </c>
      <c r="T134" s="20">
        <f t="shared" si="7"/>
        <v>0.9137931034</v>
      </c>
      <c r="U134" s="20">
        <f>IF(B134="","",MIN(Q134/Targets!$B$2,1)*Targets!$D$2+MIN(G134/100/Targets!$B$3,1)*Targets!$D$3+MIN(T134/Targets!$B$4,1)*Targets!$D$4+MIN(R134/Targets!$B$5,1)*Targets!$D$5+MIN(N134/Targets!$B$6,1)*Targets!$D$6+MIN(Targets!$B$7/MAX(S134,0.0001),1)*Targets!$D$7)</f>
        <v>0.6967719298</v>
      </c>
    </row>
    <row r="135">
      <c r="A135" s="18">
        <v>46224.0</v>
      </c>
      <c r="B135" s="19" t="s">
        <v>115</v>
      </c>
      <c r="C135" s="19" t="s">
        <v>167</v>
      </c>
      <c r="D135" s="19" t="s">
        <v>121</v>
      </c>
      <c r="E135" s="14">
        <f t="shared" si="1"/>
        <v>6</v>
      </c>
      <c r="F135" s="19">
        <f t="shared" si="2"/>
        <v>14</v>
      </c>
      <c r="G135" s="20">
        <f t="shared" si="3"/>
        <v>2.333333333</v>
      </c>
      <c r="H135" s="19">
        <v>17.0</v>
      </c>
      <c r="I135" s="19">
        <v>22.0</v>
      </c>
      <c r="J135" s="19">
        <v>1.0</v>
      </c>
      <c r="K135" s="19">
        <v>6.5</v>
      </c>
      <c r="L135" s="19">
        <v>16.0</v>
      </c>
      <c r="M135" s="19">
        <v>21.0</v>
      </c>
      <c r="N135" s="19">
        <v>3.8</v>
      </c>
      <c r="O135" s="19" t="s">
        <v>200</v>
      </c>
      <c r="P135" s="19" t="s">
        <v>168</v>
      </c>
      <c r="Q135" s="20">
        <f t="shared" si="4"/>
        <v>2.333333333</v>
      </c>
      <c r="R135" s="20">
        <f t="shared" si="5"/>
        <v>0.7727272727</v>
      </c>
      <c r="S135" s="20">
        <f t="shared" si="6"/>
        <v>0.04545454545</v>
      </c>
      <c r="T135" s="20">
        <f t="shared" si="7"/>
        <v>0.7619047619</v>
      </c>
      <c r="U135" s="20">
        <f>IF(B135="","",MIN(Q135/Targets!$B$2,1)*Targets!$D$2+MIN(G135/100/Targets!$B$3,1)*Targets!$D$3+MIN(T135/Targets!$B$4,1)*Targets!$D$4+MIN(R135/Targets!$B$5,1)*Targets!$D$5+MIN(N135/Targets!$B$6,1)*Targets!$D$6+MIN(Targets!$B$7/MAX(S135,0.0001),1)*Targets!$D$7)</f>
        <v>0.6110571884</v>
      </c>
    </row>
    <row r="136">
      <c r="A136" s="18">
        <v>46224.0</v>
      </c>
      <c r="B136" s="19" t="s">
        <v>118</v>
      </c>
      <c r="C136" s="19" t="s">
        <v>169</v>
      </c>
      <c r="D136" s="19" t="s">
        <v>121</v>
      </c>
      <c r="E136" s="14">
        <f t="shared" si="1"/>
        <v>6</v>
      </c>
      <c r="F136" s="19">
        <f t="shared" si="2"/>
        <v>13</v>
      </c>
      <c r="G136" s="20">
        <f t="shared" si="3"/>
        <v>2.166666667</v>
      </c>
      <c r="H136" s="19">
        <v>41.0</v>
      </c>
      <c r="I136" s="19">
        <v>43.0</v>
      </c>
      <c r="J136" s="19">
        <v>1.0</v>
      </c>
      <c r="K136" s="19">
        <v>2.8</v>
      </c>
      <c r="L136" s="19">
        <v>43.0</v>
      </c>
      <c r="M136" s="19">
        <v>57.0</v>
      </c>
      <c r="N136" s="19">
        <v>7.8</v>
      </c>
      <c r="O136" s="19" t="s">
        <v>143</v>
      </c>
      <c r="P136" s="19" t="s">
        <v>186</v>
      </c>
      <c r="Q136" s="20">
        <f t="shared" si="4"/>
        <v>2.166666667</v>
      </c>
      <c r="R136" s="20">
        <f t="shared" si="5"/>
        <v>0.9534883721</v>
      </c>
      <c r="S136" s="20">
        <f t="shared" si="6"/>
        <v>0.02325581395</v>
      </c>
      <c r="T136" s="20">
        <f t="shared" si="7"/>
        <v>0.7543859649</v>
      </c>
      <c r="U136" s="20">
        <f>IF(B136="","",MIN(Q136/Targets!$B$2,1)*Targets!$D$2+MIN(G136/100/Targets!$B$3,1)*Targets!$D$3+MIN(T136/Targets!$B$4,1)*Targets!$D$4+MIN(R136/Targets!$B$5,1)*Targets!$D$5+MIN(N136/Targets!$B$6,1)*Targets!$D$6+MIN(Targets!$B$7/MAX(S136,0.0001),1)*Targets!$D$7)</f>
        <v>0.6829532164</v>
      </c>
    </row>
    <row r="137">
      <c r="A137" s="18">
        <v>46224.0</v>
      </c>
      <c r="B137" s="19" t="s">
        <v>123</v>
      </c>
      <c r="C137" s="19" t="s">
        <v>171</v>
      </c>
      <c r="D137" s="19" t="s">
        <v>121</v>
      </c>
      <c r="E137" s="14">
        <f t="shared" si="1"/>
        <v>11</v>
      </c>
      <c r="F137" s="19">
        <f t="shared" si="2"/>
        <v>12</v>
      </c>
      <c r="G137" s="20">
        <f t="shared" si="3"/>
        <v>1.090909091</v>
      </c>
      <c r="H137" s="19">
        <v>45.0</v>
      </c>
      <c r="I137" s="19">
        <v>50.0</v>
      </c>
      <c r="J137" s="19">
        <v>1.0</v>
      </c>
      <c r="K137" s="19">
        <v>3.4</v>
      </c>
      <c r="L137" s="19">
        <v>52.0</v>
      </c>
      <c r="M137" s="19">
        <v>60.0</v>
      </c>
      <c r="N137" s="19">
        <v>6.7</v>
      </c>
      <c r="O137" s="19" t="s">
        <v>143</v>
      </c>
      <c r="P137" s="19" t="s">
        <v>189</v>
      </c>
      <c r="Q137" s="20">
        <f t="shared" si="4"/>
        <v>1.090909091</v>
      </c>
      <c r="R137" s="20">
        <f t="shared" si="5"/>
        <v>0.9</v>
      </c>
      <c r="S137" s="20">
        <f t="shared" si="6"/>
        <v>0.02</v>
      </c>
      <c r="T137" s="20">
        <f t="shared" si="7"/>
        <v>0.8666666667</v>
      </c>
      <c r="U137" s="20">
        <f>IF(B137="","",MIN(Q137/Targets!$B$2,1)*Targets!$D$2+MIN(G137/100/Targets!$B$3,1)*Targets!$D$3+MIN(T137/Targets!$B$4,1)*Targets!$D$4+MIN(R137/Targets!$B$5,1)*Targets!$D$5+MIN(N137/Targets!$B$6,1)*Targets!$D$6+MIN(Targets!$B$7/MAX(S137,0.0001),1)*Targets!$D$7)</f>
        <v>0.685900357</v>
      </c>
    </row>
    <row r="138">
      <c r="A138" s="18">
        <v>46224.0</v>
      </c>
      <c r="B138" s="19" t="s">
        <v>126</v>
      </c>
      <c r="C138" s="19" t="s">
        <v>179</v>
      </c>
      <c r="D138" s="19" t="s">
        <v>121</v>
      </c>
      <c r="E138" s="14">
        <f t="shared" si="1"/>
        <v>14</v>
      </c>
      <c r="F138" s="19">
        <f t="shared" si="2"/>
        <v>7</v>
      </c>
      <c r="G138" s="20">
        <f t="shared" si="3"/>
        <v>0.5</v>
      </c>
      <c r="H138" s="19">
        <v>44.0</v>
      </c>
      <c r="I138" s="19">
        <v>46.0</v>
      </c>
      <c r="J138" s="19">
        <v>3.0</v>
      </c>
      <c r="K138" s="19">
        <v>1.6</v>
      </c>
      <c r="L138" s="19">
        <v>56.0</v>
      </c>
      <c r="M138" s="19">
        <v>61.0</v>
      </c>
      <c r="N138" s="19">
        <v>8.1</v>
      </c>
      <c r="O138" s="19" t="s">
        <v>143</v>
      </c>
      <c r="P138" s="19" t="s">
        <v>168</v>
      </c>
      <c r="Q138" s="20">
        <f t="shared" si="4"/>
        <v>0.5</v>
      </c>
      <c r="R138" s="20">
        <f t="shared" si="5"/>
        <v>0.9565217391</v>
      </c>
      <c r="S138" s="20">
        <f t="shared" si="6"/>
        <v>0.0652173913</v>
      </c>
      <c r="T138" s="20">
        <f t="shared" si="7"/>
        <v>0.9180327869</v>
      </c>
      <c r="U138" s="20">
        <f>IF(B138="","",MIN(Q138/Targets!$B$2,1)*Targets!$D$2+MIN(G138/100/Targets!$B$3,1)*Targets!$D$3+MIN(T138/Targets!$B$4,1)*Targets!$D$4+MIN(R138/Targets!$B$5,1)*Targets!$D$5+MIN(N138/Targets!$B$6,1)*Targets!$D$6+MIN(Targets!$B$7/MAX(S138,0.0001),1)*Targets!$D$7)</f>
        <v>0.5894444444</v>
      </c>
    </row>
    <row r="139">
      <c r="A139" s="18">
        <v>46224.0</v>
      </c>
      <c r="B139" s="19" t="s">
        <v>129</v>
      </c>
      <c r="C139" s="19" t="s">
        <v>188</v>
      </c>
      <c r="D139" s="19" t="s">
        <v>121</v>
      </c>
      <c r="E139" s="14">
        <f t="shared" si="1"/>
        <v>15</v>
      </c>
      <c r="F139" s="19">
        <f t="shared" si="2"/>
        <v>15</v>
      </c>
      <c r="G139" s="20">
        <f t="shared" si="3"/>
        <v>1</v>
      </c>
      <c r="H139" s="19">
        <v>27.0</v>
      </c>
      <c r="I139" s="19">
        <v>31.0</v>
      </c>
      <c r="J139" s="19">
        <v>1.0</v>
      </c>
      <c r="K139" s="19">
        <v>4.6</v>
      </c>
      <c r="L139" s="19">
        <v>36.0</v>
      </c>
      <c r="M139" s="19">
        <v>47.0</v>
      </c>
      <c r="N139" s="19">
        <v>6.8</v>
      </c>
      <c r="O139" s="19" t="s">
        <v>143</v>
      </c>
      <c r="P139" s="19" t="s">
        <v>144</v>
      </c>
      <c r="Q139" s="20">
        <f t="shared" si="4"/>
        <v>1</v>
      </c>
      <c r="R139" s="20">
        <f t="shared" si="5"/>
        <v>0.8709677419</v>
      </c>
      <c r="S139" s="20">
        <f t="shared" si="6"/>
        <v>0.03225806452</v>
      </c>
      <c r="T139" s="20">
        <f t="shared" si="7"/>
        <v>0.7659574468</v>
      </c>
      <c r="U139" s="20">
        <f>IF(B139="","",MIN(Q139/Targets!$B$2,1)*Targets!$D$2+MIN(G139/100/Targets!$B$3,1)*Targets!$D$3+MIN(T139/Targets!$B$4,1)*Targets!$D$4+MIN(R139/Targets!$B$5,1)*Targets!$D$5+MIN(N139/Targets!$B$6,1)*Targets!$D$6+MIN(Targets!$B$7/MAX(S139,0.0001),1)*Targets!$D$7)</f>
        <v>0.6656569874</v>
      </c>
    </row>
    <row r="140">
      <c r="A140" s="18">
        <v>46224.0</v>
      </c>
      <c r="B140" s="19" t="s">
        <v>132</v>
      </c>
      <c r="C140" s="19" t="s">
        <v>190</v>
      </c>
      <c r="D140" s="19" t="s">
        <v>121</v>
      </c>
      <c r="E140" s="14">
        <f t="shared" si="1"/>
        <v>10</v>
      </c>
      <c r="F140" s="19">
        <f t="shared" si="2"/>
        <v>7</v>
      </c>
      <c r="G140" s="20">
        <f t="shared" si="3"/>
        <v>0.7</v>
      </c>
      <c r="H140" s="19">
        <v>40.0</v>
      </c>
      <c r="I140" s="19">
        <v>43.0</v>
      </c>
      <c r="J140" s="19">
        <v>2.0</v>
      </c>
      <c r="K140" s="19">
        <v>3.8</v>
      </c>
      <c r="L140" s="19">
        <v>52.0</v>
      </c>
      <c r="M140" s="19">
        <v>61.0</v>
      </c>
      <c r="N140" s="19">
        <v>7.9</v>
      </c>
      <c r="O140" s="19" t="s">
        <v>143</v>
      </c>
      <c r="P140" s="19" t="s">
        <v>186</v>
      </c>
      <c r="Q140" s="20">
        <f t="shared" si="4"/>
        <v>0.7</v>
      </c>
      <c r="R140" s="20">
        <f t="shared" si="5"/>
        <v>0.9302325581</v>
      </c>
      <c r="S140" s="20">
        <f t="shared" si="6"/>
        <v>0.04651162791</v>
      </c>
      <c r="T140" s="20">
        <f t="shared" si="7"/>
        <v>0.8524590164</v>
      </c>
      <c r="U140" s="20">
        <f>IF(B140="","",MIN(Q140/Targets!$B$2,1)*Targets!$D$2+MIN(G140/100/Targets!$B$3,1)*Targets!$D$3+MIN(T140/Targets!$B$4,1)*Targets!$D$4+MIN(R140/Targets!$B$5,1)*Targets!$D$5+MIN(N140/Targets!$B$6,1)*Targets!$D$6+MIN(Targets!$B$7/MAX(S140,0.0001),1)*Targets!$D$7)</f>
        <v>0.6468442166</v>
      </c>
    </row>
    <row r="141">
      <c r="A141" s="18">
        <v>46224.0</v>
      </c>
      <c r="B141" s="19" t="s">
        <v>135</v>
      </c>
      <c r="C141" s="19" t="s">
        <v>169</v>
      </c>
      <c r="D141" s="19" t="s">
        <v>121</v>
      </c>
      <c r="E141" s="14">
        <f t="shared" si="1"/>
        <v>16</v>
      </c>
      <c r="F141" s="19">
        <f t="shared" si="2"/>
        <v>12</v>
      </c>
      <c r="G141" s="20">
        <f t="shared" si="3"/>
        <v>0.75</v>
      </c>
      <c r="H141" s="19">
        <v>23.0</v>
      </c>
      <c r="I141" s="19">
        <v>26.0</v>
      </c>
      <c r="J141" s="19">
        <v>1.0</v>
      </c>
      <c r="K141" s="19">
        <v>6.4</v>
      </c>
      <c r="L141" s="19">
        <v>33.0</v>
      </c>
      <c r="M141" s="19">
        <v>42.0</v>
      </c>
      <c r="N141" s="19">
        <v>6.2</v>
      </c>
      <c r="O141" s="19" t="s">
        <v>143</v>
      </c>
      <c r="P141" s="19" t="s">
        <v>189</v>
      </c>
      <c r="Q141" s="20">
        <f t="shared" si="4"/>
        <v>0.75</v>
      </c>
      <c r="R141" s="20">
        <f t="shared" si="5"/>
        <v>0.8846153846</v>
      </c>
      <c r="S141" s="20">
        <f t="shared" si="6"/>
        <v>0.03846153846</v>
      </c>
      <c r="T141" s="20">
        <f t="shared" si="7"/>
        <v>0.7857142857</v>
      </c>
      <c r="U141" s="20">
        <f>IF(B141="","",MIN(Q141/Targets!$B$2,1)*Targets!$D$2+MIN(G141/100/Targets!$B$3,1)*Targets!$D$3+MIN(T141/Targets!$B$4,1)*Targets!$D$4+MIN(R141/Targets!$B$5,1)*Targets!$D$5+MIN(N141/Targets!$B$6,1)*Targets!$D$6+MIN(Targets!$B$7/MAX(S141,0.0001),1)*Targets!$D$7)</f>
        <v>0.6283665896</v>
      </c>
    </row>
    <row r="142">
      <c r="A142" s="18">
        <v>46225.0</v>
      </c>
      <c r="B142" s="19" t="s">
        <v>10</v>
      </c>
      <c r="C142" s="19" t="s">
        <v>14</v>
      </c>
      <c r="D142" s="19" t="s">
        <v>121</v>
      </c>
      <c r="E142" s="14">
        <f t="shared" si="1"/>
        <v>6</v>
      </c>
      <c r="F142" s="19">
        <f t="shared" si="2"/>
        <v>6</v>
      </c>
      <c r="G142" s="20">
        <f t="shared" si="3"/>
        <v>1</v>
      </c>
      <c r="H142" s="19">
        <v>40.0</v>
      </c>
      <c r="I142" s="19">
        <v>41.0</v>
      </c>
      <c r="J142" s="19">
        <v>2.0</v>
      </c>
      <c r="K142" s="19">
        <v>2.8</v>
      </c>
      <c r="L142" s="19">
        <v>44.0</v>
      </c>
      <c r="M142" s="19">
        <v>50.0</v>
      </c>
      <c r="N142" s="19">
        <v>8.0</v>
      </c>
      <c r="O142" s="19" t="s">
        <v>143</v>
      </c>
      <c r="P142" s="19" t="s">
        <v>189</v>
      </c>
      <c r="Q142" s="20">
        <f t="shared" si="4"/>
        <v>1</v>
      </c>
      <c r="R142" s="20">
        <f t="shared" si="5"/>
        <v>0.9756097561</v>
      </c>
      <c r="S142" s="20">
        <f t="shared" si="6"/>
        <v>0.0487804878</v>
      </c>
      <c r="T142" s="20">
        <f t="shared" si="7"/>
        <v>0.88</v>
      </c>
      <c r="U142" s="20">
        <f>IF(B142="","",MIN(Q142/Targets!$B$2,1)*Targets!$D$2+MIN(G142/100/Targets!$B$3,1)*Targets!$D$3+MIN(T142/Targets!$B$4,1)*Targets!$D$4+MIN(R142/Targets!$B$5,1)*Targets!$D$5+MIN(N142/Targets!$B$6,1)*Targets!$D$6+MIN(Targets!$B$7/MAX(S142,0.0001),1)*Targets!$D$7)</f>
        <v>0.7</v>
      </c>
    </row>
    <row r="143">
      <c r="A143" s="18">
        <v>46225.0</v>
      </c>
      <c r="B143" s="19" t="s">
        <v>25</v>
      </c>
      <c r="C143" s="19" t="s">
        <v>167</v>
      </c>
      <c r="D143" s="19" t="s">
        <v>121</v>
      </c>
      <c r="E143" s="14">
        <f t="shared" si="1"/>
        <v>16</v>
      </c>
      <c r="F143" s="19">
        <f t="shared" si="2"/>
        <v>7</v>
      </c>
      <c r="G143" s="20">
        <f t="shared" si="3"/>
        <v>0.4375</v>
      </c>
      <c r="H143" s="19">
        <v>21.0</v>
      </c>
      <c r="I143" s="19">
        <v>25.0</v>
      </c>
      <c r="J143" s="19">
        <v>1.0</v>
      </c>
      <c r="K143" s="19">
        <v>5.7</v>
      </c>
      <c r="L143" s="19">
        <v>32.0</v>
      </c>
      <c r="M143" s="19">
        <v>39.0</v>
      </c>
      <c r="N143" s="19">
        <v>7.0</v>
      </c>
      <c r="O143" s="19" t="s">
        <v>143</v>
      </c>
      <c r="P143" s="19" t="s">
        <v>168</v>
      </c>
      <c r="Q143" s="20">
        <f t="shared" si="4"/>
        <v>0.4375</v>
      </c>
      <c r="R143" s="20">
        <f t="shared" si="5"/>
        <v>0.84</v>
      </c>
      <c r="S143" s="20">
        <f t="shared" si="6"/>
        <v>0.04</v>
      </c>
      <c r="T143" s="20">
        <f t="shared" si="7"/>
        <v>0.8205128205</v>
      </c>
      <c r="U143" s="20">
        <f>IF(B143="","",MIN(Q143/Targets!$B$2,1)*Targets!$D$2+MIN(G143/100/Targets!$B$3,1)*Targets!$D$3+MIN(T143/Targets!$B$4,1)*Targets!$D$4+MIN(R143/Targets!$B$5,1)*Targets!$D$5+MIN(N143/Targets!$B$6,1)*Targets!$D$6+MIN(Targets!$B$7/MAX(S143,0.0001),1)*Targets!$D$7)</f>
        <v>0.5680642713</v>
      </c>
    </row>
    <row r="144">
      <c r="A144" s="18">
        <v>46225.0</v>
      </c>
      <c r="B144" s="19" t="s">
        <v>37</v>
      </c>
      <c r="C144" s="19" t="s">
        <v>169</v>
      </c>
      <c r="D144" s="19" t="s">
        <v>121</v>
      </c>
      <c r="E144" s="14">
        <f t="shared" si="1"/>
        <v>11</v>
      </c>
      <c r="F144" s="19">
        <f t="shared" si="2"/>
        <v>13</v>
      </c>
      <c r="G144" s="20">
        <f t="shared" si="3"/>
        <v>1.181818182</v>
      </c>
      <c r="H144" s="19">
        <v>35.0</v>
      </c>
      <c r="I144" s="19">
        <v>37.0</v>
      </c>
      <c r="J144" s="19">
        <v>1.0</v>
      </c>
      <c r="K144" s="19">
        <v>4.2</v>
      </c>
      <c r="L144" s="19">
        <v>45.0</v>
      </c>
      <c r="M144" s="19">
        <v>52.0</v>
      </c>
      <c r="N144" s="19">
        <v>7.1</v>
      </c>
      <c r="O144" s="19" t="s">
        <v>143</v>
      </c>
      <c r="P144" s="19" t="s">
        <v>187</v>
      </c>
      <c r="Q144" s="20">
        <f t="shared" si="4"/>
        <v>1.181818182</v>
      </c>
      <c r="R144" s="20">
        <f t="shared" si="5"/>
        <v>0.9459459459</v>
      </c>
      <c r="S144" s="20">
        <f t="shared" si="6"/>
        <v>0.02702702703</v>
      </c>
      <c r="T144" s="20">
        <f t="shared" si="7"/>
        <v>0.8653846154</v>
      </c>
      <c r="U144" s="20">
        <f>IF(B144="","",MIN(Q144/Targets!$B$2,1)*Targets!$D$2+MIN(G144/100/Targets!$B$3,1)*Targets!$D$3+MIN(T144/Targets!$B$4,1)*Targets!$D$4+MIN(R144/Targets!$B$5,1)*Targets!$D$5+MIN(N144/Targets!$B$6,1)*Targets!$D$6+MIN(Targets!$B$7/MAX(S144,0.0001),1)*Targets!$D$7)</f>
        <v>0.6975300494</v>
      </c>
    </row>
    <row r="145">
      <c r="A145" s="18">
        <v>46225.0</v>
      </c>
      <c r="B145" s="19" t="s">
        <v>42</v>
      </c>
      <c r="C145" s="19" t="s">
        <v>171</v>
      </c>
      <c r="D145" s="19" t="s">
        <v>121</v>
      </c>
      <c r="E145" s="14">
        <f t="shared" si="1"/>
        <v>9</v>
      </c>
      <c r="F145" s="19">
        <f t="shared" si="2"/>
        <v>10</v>
      </c>
      <c r="G145" s="20">
        <f t="shared" si="3"/>
        <v>1.111111111</v>
      </c>
      <c r="H145" s="19">
        <v>27.0</v>
      </c>
      <c r="I145" s="19">
        <v>30.0</v>
      </c>
      <c r="J145" s="19">
        <v>1.0</v>
      </c>
      <c r="K145" s="19">
        <v>3.0</v>
      </c>
      <c r="L145" s="19">
        <v>38.0</v>
      </c>
      <c r="M145" s="19">
        <v>47.0</v>
      </c>
      <c r="N145" s="19">
        <v>7.3</v>
      </c>
      <c r="O145" s="19" t="s">
        <v>143</v>
      </c>
      <c r="P145" s="19" t="s">
        <v>191</v>
      </c>
      <c r="Q145" s="20">
        <f t="shared" si="4"/>
        <v>1.111111111</v>
      </c>
      <c r="R145" s="20">
        <f t="shared" si="5"/>
        <v>0.9</v>
      </c>
      <c r="S145" s="20">
        <f t="shared" si="6"/>
        <v>0.03333333333</v>
      </c>
      <c r="T145" s="20">
        <f t="shared" si="7"/>
        <v>0.8085106383</v>
      </c>
      <c r="U145" s="20">
        <f>IF(B145="","",MIN(Q145/Targets!$B$2,1)*Targets!$D$2+MIN(G145/100/Targets!$B$3,1)*Targets!$D$3+MIN(T145/Targets!$B$4,1)*Targets!$D$4+MIN(R145/Targets!$B$5,1)*Targets!$D$5+MIN(N145/Targets!$B$6,1)*Targets!$D$6+MIN(Targets!$B$7/MAX(S145,0.0001),1)*Targets!$D$7)</f>
        <v>0.6805607399</v>
      </c>
    </row>
    <row r="146">
      <c r="A146" s="18">
        <v>46225.0</v>
      </c>
      <c r="B146" s="19" t="s">
        <v>46</v>
      </c>
      <c r="C146" s="19" t="s">
        <v>179</v>
      </c>
      <c r="D146" s="19" t="s">
        <v>121</v>
      </c>
      <c r="E146" s="14">
        <f t="shared" si="1"/>
        <v>11</v>
      </c>
      <c r="F146" s="19">
        <f t="shared" si="2"/>
        <v>11</v>
      </c>
      <c r="G146" s="20">
        <f t="shared" si="3"/>
        <v>1</v>
      </c>
      <c r="H146" s="19">
        <v>30.0</v>
      </c>
      <c r="I146" s="19">
        <v>33.0</v>
      </c>
      <c r="J146" s="19">
        <v>1.0</v>
      </c>
      <c r="K146" s="19">
        <v>4.3</v>
      </c>
      <c r="L146" s="19">
        <v>38.0</v>
      </c>
      <c r="M146" s="19">
        <v>48.0</v>
      </c>
      <c r="N146" s="19">
        <v>6.6</v>
      </c>
      <c r="O146" s="19" t="s">
        <v>143</v>
      </c>
      <c r="P146" s="19" t="s">
        <v>189</v>
      </c>
      <c r="Q146" s="20">
        <f t="shared" si="4"/>
        <v>1</v>
      </c>
      <c r="R146" s="20">
        <f t="shared" si="5"/>
        <v>0.9090909091</v>
      </c>
      <c r="S146" s="20">
        <f t="shared" si="6"/>
        <v>0.0303030303</v>
      </c>
      <c r="T146" s="20">
        <f t="shared" si="7"/>
        <v>0.7916666667</v>
      </c>
      <c r="U146" s="20">
        <f>IF(B146="","",MIN(Q146/Targets!$B$2,1)*Targets!$D$2+MIN(G146/100/Targets!$B$3,1)*Targets!$D$3+MIN(T146/Targets!$B$4,1)*Targets!$D$4+MIN(R146/Targets!$B$5,1)*Targets!$D$5+MIN(N146/Targets!$B$6,1)*Targets!$D$6+MIN(Targets!$B$7/MAX(S146,0.0001),1)*Targets!$D$7)</f>
        <v>0.6731041619</v>
      </c>
    </row>
    <row r="147">
      <c r="A147" s="18">
        <v>46225.0</v>
      </c>
      <c r="B147" s="19" t="s">
        <v>53</v>
      </c>
      <c r="C147" s="19" t="s">
        <v>14</v>
      </c>
      <c r="D147" s="19" t="s">
        <v>121</v>
      </c>
      <c r="E147" s="14">
        <f t="shared" si="1"/>
        <v>7</v>
      </c>
      <c r="F147" s="19">
        <f t="shared" si="2"/>
        <v>8</v>
      </c>
      <c r="G147" s="20">
        <f t="shared" si="3"/>
        <v>1.142857143</v>
      </c>
      <c r="H147" s="19">
        <v>22.0</v>
      </c>
      <c r="I147" s="19">
        <v>27.0</v>
      </c>
      <c r="J147" s="19">
        <v>2.0</v>
      </c>
      <c r="K147" s="19">
        <v>5.1</v>
      </c>
      <c r="L147" s="19">
        <v>28.0</v>
      </c>
      <c r="M147" s="19">
        <v>40.0</v>
      </c>
      <c r="N147" s="19">
        <v>5.5</v>
      </c>
      <c r="O147" s="19" t="s">
        <v>143</v>
      </c>
      <c r="P147" s="19" t="s">
        <v>191</v>
      </c>
      <c r="Q147" s="20">
        <f t="shared" si="4"/>
        <v>1.142857143</v>
      </c>
      <c r="R147" s="20">
        <f t="shared" si="5"/>
        <v>0.8148148148</v>
      </c>
      <c r="S147" s="20">
        <f t="shared" si="6"/>
        <v>0.07407407407</v>
      </c>
      <c r="T147" s="20">
        <f t="shared" si="7"/>
        <v>0.7</v>
      </c>
      <c r="U147" s="20">
        <f>IF(B147="","",MIN(Q147/Targets!$B$2,1)*Targets!$D$2+MIN(G147/100/Targets!$B$3,1)*Targets!$D$3+MIN(T147/Targets!$B$4,1)*Targets!$D$4+MIN(R147/Targets!$B$5,1)*Targets!$D$5+MIN(N147/Targets!$B$6,1)*Targets!$D$6+MIN(Targets!$B$7/MAX(S147,0.0001),1)*Targets!$D$7)</f>
        <v>0.5952025898</v>
      </c>
    </row>
    <row r="148">
      <c r="A148" s="18">
        <v>46225.0</v>
      </c>
      <c r="B148" s="19" t="s">
        <v>65</v>
      </c>
      <c r="C148" s="19" t="s">
        <v>167</v>
      </c>
      <c r="D148" s="19" t="s">
        <v>121</v>
      </c>
      <c r="E148" s="14">
        <f t="shared" si="1"/>
        <v>7</v>
      </c>
      <c r="F148" s="19">
        <f t="shared" si="2"/>
        <v>7</v>
      </c>
      <c r="G148" s="20">
        <f t="shared" si="3"/>
        <v>1</v>
      </c>
      <c r="H148" s="19">
        <v>27.0</v>
      </c>
      <c r="I148" s="19">
        <v>29.0</v>
      </c>
      <c r="J148" s="19">
        <v>1.0</v>
      </c>
      <c r="K148" s="19">
        <v>4.1</v>
      </c>
      <c r="L148" s="19">
        <v>22.0</v>
      </c>
      <c r="M148" s="19">
        <v>28.0</v>
      </c>
      <c r="N148" s="19">
        <v>4.1</v>
      </c>
      <c r="O148" s="19" t="s">
        <v>200</v>
      </c>
      <c r="P148" s="19" t="s">
        <v>168</v>
      </c>
      <c r="Q148" s="20">
        <f t="shared" si="4"/>
        <v>1</v>
      </c>
      <c r="R148" s="20">
        <f t="shared" si="5"/>
        <v>0.9310344828</v>
      </c>
      <c r="S148" s="20">
        <f t="shared" si="6"/>
        <v>0.03448275862</v>
      </c>
      <c r="T148" s="20">
        <f t="shared" si="7"/>
        <v>0.7857142857</v>
      </c>
      <c r="U148" s="20">
        <f>IF(B148="","",MIN(Q148/Targets!$B$2,1)*Targets!$D$2+MIN(G148/100/Targets!$B$3,1)*Targets!$D$3+MIN(T148/Targets!$B$4,1)*Targets!$D$4+MIN(R148/Targets!$B$5,1)*Targets!$D$5+MIN(N148/Targets!$B$6,1)*Targets!$D$6+MIN(Targets!$B$7/MAX(S148,0.0001),1)*Targets!$D$7)</f>
        <v>0.6398625875</v>
      </c>
    </row>
    <row r="149">
      <c r="A149" s="18">
        <v>46225.0</v>
      </c>
      <c r="B149" s="19" t="s">
        <v>73</v>
      </c>
      <c r="C149" s="19" t="s">
        <v>169</v>
      </c>
      <c r="D149" s="19" t="s">
        <v>121</v>
      </c>
      <c r="E149" s="14">
        <f t="shared" si="1"/>
        <v>13</v>
      </c>
      <c r="F149" s="19">
        <f t="shared" si="2"/>
        <v>10</v>
      </c>
      <c r="G149" s="20">
        <f t="shared" si="3"/>
        <v>0.7692307692</v>
      </c>
      <c r="H149" s="19">
        <v>46.0</v>
      </c>
      <c r="I149" s="19">
        <v>48.0</v>
      </c>
      <c r="J149" s="19">
        <v>1.0</v>
      </c>
      <c r="K149" s="19">
        <v>3.9</v>
      </c>
      <c r="L149" s="19">
        <v>50.0</v>
      </c>
      <c r="M149" s="19">
        <v>54.0</v>
      </c>
      <c r="N149" s="19">
        <v>6.7</v>
      </c>
      <c r="O149" s="19" t="s">
        <v>143</v>
      </c>
      <c r="P149" s="19" t="s">
        <v>189</v>
      </c>
      <c r="Q149" s="20">
        <f t="shared" si="4"/>
        <v>0.7692307692</v>
      </c>
      <c r="R149" s="20">
        <f t="shared" si="5"/>
        <v>0.9583333333</v>
      </c>
      <c r="S149" s="20">
        <f t="shared" si="6"/>
        <v>0.02083333333</v>
      </c>
      <c r="T149" s="20">
        <f t="shared" si="7"/>
        <v>0.9259259259</v>
      </c>
      <c r="U149" s="20">
        <f>IF(B149="","",MIN(Q149/Targets!$B$2,1)*Targets!$D$2+MIN(G149/100/Targets!$B$3,1)*Targets!$D$3+MIN(T149/Targets!$B$4,1)*Targets!$D$4+MIN(R149/Targets!$B$5,1)*Targets!$D$5+MIN(N149/Targets!$B$6,1)*Targets!$D$6+MIN(Targets!$B$7/MAX(S149,0.0001),1)*Targets!$D$7)</f>
        <v>0.6692185592</v>
      </c>
    </row>
    <row r="150">
      <c r="A150" s="18">
        <v>46225.0</v>
      </c>
      <c r="B150" s="19" t="s">
        <v>78</v>
      </c>
      <c r="C150" s="19" t="s">
        <v>171</v>
      </c>
      <c r="D150" s="19" t="s">
        <v>121</v>
      </c>
      <c r="E150" s="14">
        <f t="shared" si="1"/>
        <v>8</v>
      </c>
      <c r="F150" s="19">
        <f t="shared" si="2"/>
        <v>6</v>
      </c>
      <c r="G150" s="20">
        <f t="shared" si="3"/>
        <v>0.75</v>
      </c>
      <c r="H150" s="19">
        <v>58.0</v>
      </c>
      <c r="I150" s="19">
        <v>61.0</v>
      </c>
      <c r="J150" s="19">
        <v>4.0</v>
      </c>
      <c r="K150" s="19">
        <v>3.0</v>
      </c>
      <c r="L150" s="19">
        <v>58.0</v>
      </c>
      <c r="M150" s="19">
        <v>63.0</v>
      </c>
      <c r="N150" s="19">
        <v>7.6</v>
      </c>
      <c r="O150" s="19" t="s">
        <v>143</v>
      </c>
      <c r="P150" s="19" t="s">
        <v>168</v>
      </c>
      <c r="Q150" s="20">
        <f t="shared" si="4"/>
        <v>0.75</v>
      </c>
      <c r="R150" s="20">
        <f t="shared" si="5"/>
        <v>0.9508196721</v>
      </c>
      <c r="S150" s="20">
        <f t="shared" si="6"/>
        <v>0.06557377049</v>
      </c>
      <c r="T150" s="20">
        <f t="shared" si="7"/>
        <v>0.9206349206</v>
      </c>
      <c r="U150" s="20">
        <f>IF(B150="","",MIN(Q150/Targets!$B$2,1)*Targets!$D$2+MIN(G150/100/Targets!$B$3,1)*Targets!$D$3+MIN(T150/Targets!$B$4,1)*Targets!$D$4+MIN(R150/Targets!$B$5,1)*Targets!$D$5+MIN(N150/Targets!$B$6,1)*Targets!$D$6+MIN(Targets!$B$7/MAX(S150,0.0001),1)*Targets!$D$7)</f>
        <v>0.6454166667</v>
      </c>
    </row>
    <row r="151">
      <c r="A151" s="18">
        <v>46225.0</v>
      </c>
      <c r="B151" s="19" t="s">
        <v>84</v>
      </c>
      <c r="C151" s="19" t="s">
        <v>179</v>
      </c>
      <c r="D151" s="19" t="s">
        <v>121</v>
      </c>
      <c r="E151" s="14">
        <f t="shared" si="1"/>
        <v>8</v>
      </c>
      <c r="F151" s="19">
        <f t="shared" si="2"/>
        <v>7</v>
      </c>
      <c r="G151" s="20">
        <f t="shared" si="3"/>
        <v>0.875</v>
      </c>
      <c r="H151" s="19">
        <v>28.0</v>
      </c>
      <c r="I151" s="19">
        <v>33.0</v>
      </c>
      <c r="J151" s="19">
        <v>2.0</v>
      </c>
      <c r="K151" s="19">
        <v>6.3</v>
      </c>
      <c r="L151" s="19">
        <v>37.0</v>
      </c>
      <c r="M151" s="19">
        <v>43.0</v>
      </c>
      <c r="N151" s="19">
        <v>5.1</v>
      </c>
      <c r="O151" s="19" t="s">
        <v>143</v>
      </c>
      <c r="P151" s="19" t="s">
        <v>178</v>
      </c>
      <c r="Q151" s="20">
        <f t="shared" si="4"/>
        <v>0.875</v>
      </c>
      <c r="R151" s="20">
        <f t="shared" si="5"/>
        <v>0.8484848485</v>
      </c>
      <c r="S151" s="20">
        <f t="shared" si="6"/>
        <v>0.06060606061</v>
      </c>
      <c r="T151" s="20">
        <f t="shared" si="7"/>
        <v>0.8604651163</v>
      </c>
      <c r="U151" s="20">
        <f>IF(B151="","",MIN(Q151/Targets!$B$2,1)*Targets!$D$2+MIN(G151/100/Targets!$B$3,1)*Targets!$D$3+MIN(T151/Targets!$B$4,1)*Targets!$D$4+MIN(R151/Targets!$B$5,1)*Targets!$D$5+MIN(N151/Targets!$B$6,1)*Targets!$D$6+MIN(Targets!$B$7/MAX(S151,0.0001),1)*Targets!$D$7)</f>
        <v>0.6301003985</v>
      </c>
    </row>
    <row r="152">
      <c r="A152" s="18">
        <v>46225.0</v>
      </c>
      <c r="B152" s="19" t="s">
        <v>91</v>
      </c>
      <c r="C152" s="19" t="s">
        <v>188</v>
      </c>
      <c r="D152" s="19" t="s">
        <v>121</v>
      </c>
      <c r="E152" s="14">
        <f t="shared" si="1"/>
        <v>11</v>
      </c>
      <c r="F152" s="19">
        <f t="shared" si="2"/>
        <v>12</v>
      </c>
      <c r="G152" s="20">
        <f t="shared" si="3"/>
        <v>1.090909091</v>
      </c>
      <c r="H152" s="19">
        <v>47.0</v>
      </c>
      <c r="I152" s="19">
        <v>51.0</v>
      </c>
      <c r="J152" s="19">
        <v>2.0</v>
      </c>
      <c r="K152" s="19">
        <v>4.5</v>
      </c>
      <c r="L152" s="19">
        <v>51.0</v>
      </c>
      <c r="M152" s="19">
        <v>61.0</v>
      </c>
      <c r="N152" s="19">
        <v>6.5</v>
      </c>
      <c r="O152" s="19" t="s">
        <v>143</v>
      </c>
      <c r="P152" s="19" t="s">
        <v>186</v>
      </c>
      <c r="Q152" s="20">
        <f t="shared" si="4"/>
        <v>1.090909091</v>
      </c>
      <c r="R152" s="20">
        <f t="shared" si="5"/>
        <v>0.9215686275</v>
      </c>
      <c r="S152" s="20">
        <f t="shared" si="6"/>
        <v>0.03921568627</v>
      </c>
      <c r="T152" s="20">
        <f t="shared" si="7"/>
        <v>0.8360655738</v>
      </c>
      <c r="U152" s="20">
        <f>IF(B152="","",MIN(Q152/Targets!$B$2,1)*Targets!$D$2+MIN(G152/100/Targets!$B$3,1)*Targets!$D$3+MIN(T152/Targets!$B$4,1)*Targets!$D$4+MIN(R152/Targets!$B$5,1)*Targets!$D$5+MIN(N152/Targets!$B$6,1)*Targets!$D$6+MIN(Targets!$B$7/MAX(S152,0.0001),1)*Targets!$D$7)</f>
        <v>0.6813486047</v>
      </c>
    </row>
    <row r="153">
      <c r="A153" s="18">
        <v>46225.0</v>
      </c>
      <c r="B153" s="19" t="s">
        <v>100</v>
      </c>
      <c r="C153" s="19" t="s">
        <v>190</v>
      </c>
      <c r="D153" s="19" t="s">
        <v>121</v>
      </c>
      <c r="E153" s="14">
        <f t="shared" si="1"/>
        <v>12</v>
      </c>
      <c r="F153" s="19">
        <f t="shared" si="2"/>
        <v>9</v>
      </c>
      <c r="G153" s="20">
        <f t="shared" si="3"/>
        <v>0.75</v>
      </c>
      <c r="H153" s="19">
        <v>30.0</v>
      </c>
      <c r="I153" s="19">
        <v>34.0</v>
      </c>
      <c r="J153" s="19">
        <v>2.0</v>
      </c>
      <c r="K153" s="19">
        <v>3.5</v>
      </c>
      <c r="L153" s="19">
        <v>41.0</v>
      </c>
      <c r="M153" s="19">
        <v>48.0</v>
      </c>
      <c r="N153" s="19">
        <v>8.0</v>
      </c>
      <c r="O153" s="19" t="s">
        <v>143</v>
      </c>
      <c r="P153" s="19" t="s">
        <v>186</v>
      </c>
      <c r="Q153" s="20">
        <f t="shared" si="4"/>
        <v>0.75</v>
      </c>
      <c r="R153" s="20">
        <f t="shared" si="5"/>
        <v>0.8823529412</v>
      </c>
      <c r="S153" s="20">
        <f t="shared" si="6"/>
        <v>0.05882352941</v>
      </c>
      <c r="T153" s="20">
        <f t="shared" si="7"/>
        <v>0.8541666667</v>
      </c>
      <c r="U153" s="20">
        <f>IF(B153="","",MIN(Q153/Targets!$B$2,1)*Targets!$D$2+MIN(G153/100/Targets!$B$3,1)*Targets!$D$3+MIN(T153/Targets!$B$4,1)*Targets!$D$4+MIN(R153/Targets!$B$5,1)*Targets!$D$5+MIN(N153/Targets!$B$6,1)*Targets!$D$6+MIN(Targets!$B$7/MAX(S153,0.0001),1)*Targets!$D$7)</f>
        <v>0.6358466632</v>
      </c>
    </row>
    <row r="154">
      <c r="A154" s="18">
        <v>46225.0</v>
      </c>
      <c r="B154" s="19" t="s">
        <v>109</v>
      </c>
      <c r="C154" s="19" t="s">
        <v>14</v>
      </c>
      <c r="D154" s="19" t="s">
        <v>121</v>
      </c>
      <c r="E154" s="14">
        <f t="shared" si="1"/>
        <v>12</v>
      </c>
      <c r="F154" s="19">
        <f t="shared" si="2"/>
        <v>14</v>
      </c>
      <c r="G154" s="20">
        <f t="shared" si="3"/>
        <v>1.166666667</v>
      </c>
      <c r="H154" s="19">
        <v>35.0</v>
      </c>
      <c r="I154" s="19">
        <v>36.0</v>
      </c>
      <c r="J154" s="19">
        <v>1.0</v>
      </c>
      <c r="K154" s="19">
        <v>2.6</v>
      </c>
      <c r="L154" s="19">
        <v>45.0</v>
      </c>
      <c r="M154" s="19">
        <v>52.0</v>
      </c>
      <c r="N154" s="19">
        <v>8.0</v>
      </c>
      <c r="O154" s="19" t="s">
        <v>143</v>
      </c>
      <c r="P154" s="19" t="s">
        <v>178</v>
      </c>
      <c r="Q154" s="20">
        <f t="shared" si="4"/>
        <v>1.166666667</v>
      </c>
      <c r="R154" s="20">
        <f t="shared" si="5"/>
        <v>0.9722222222</v>
      </c>
      <c r="S154" s="20">
        <f t="shared" si="6"/>
        <v>0.02777777778</v>
      </c>
      <c r="T154" s="20">
        <f t="shared" si="7"/>
        <v>0.8653846154</v>
      </c>
      <c r="U154" s="20">
        <f>IF(B154="","",MIN(Q154/Targets!$B$2,1)*Targets!$D$2+MIN(G154/100/Targets!$B$3,1)*Targets!$D$3+MIN(T154/Targets!$B$4,1)*Targets!$D$4+MIN(R154/Targets!$B$5,1)*Targets!$D$5+MIN(N154/Targets!$B$6,1)*Targets!$D$6+MIN(Targets!$B$7/MAX(S154,0.0001),1)*Targets!$D$7)</f>
        <v>0.6981196581</v>
      </c>
    </row>
    <row r="155">
      <c r="A155" s="18">
        <v>46225.0</v>
      </c>
      <c r="B155" s="19" t="s">
        <v>115</v>
      </c>
      <c r="C155" s="19" t="s">
        <v>167</v>
      </c>
      <c r="D155" s="19" t="s">
        <v>121</v>
      </c>
      <c r="E155" s="14">
        <f t="shared" si="1"/>
        <v>14</v>
      </c>
      <c r="F155" s="19">
        <f t="shared" si="2"/>
        <v>11</v>
      </c>
      <c r="G155" s="20">
        <f t="shared" si="3"/>
        <v>0.7857142857</v>
      </c>
      <c r="H155" s="19">
        <v>35.0</v>
      </c>
      <c r="I155" s="19">
        <v>41.0</v>
      </c>
      <c r="J155" s="19">
        <v>2.0</v>
      </c>
      <c r="K155" s="19">
        <v>2.7</v>
      </c>
      <c r="L155" s="19">
        <v>50.0</v>
      </c>
      <c r="M155" s="19">
        <v>54.0</v>
      </c>
      <c r="N155" s="19">
        <v>6.9</v>
      </c>
      <c r="O155" s="19" t="s">
        <v>143</v>
      </c>
      <c r="P155" s="19" t="s">
        <v>178</v>
      </c>
      <c r="Q155" s="20">
        <f t="shared" si="4"/>
        <v>0.7857142857</v>
      </c>
      <c r="R155" s="20">
        <f t="shared" si="5"/>
        <v>0.8536585366</v>
      </c>
      <c r="S155" s="20">
        <f t="shared" si="6"/>
        <v>0.0487804878</v>
      </c>
      <c r="T155" s="20">
        <f t="shared" si="7"/>
        <v>0.9259259259</v>
      </c>
      <c r="U155" s="20">
        <f>IF(B155="","",MIN(Q155/Targets!$B$2,1)*Targets!$D$2+MIN(G155/100/Targets!$B$3,1)*Targets!$D$3+MIN(T155/Targets!$B$4,1)*Targets!$D$4+MIN(R155/Targets!$B$5,1)*Targets!$D$5+MIN(N155/Targets!$B$6,1)*Targets!$D$6+MIN(Targets!$B$7/MAX(S155,0.0001),1)*Targets!$D$7)</f>
        <v>0.6605818408</v>
      </c>
    </row>
    <row r="156">
      <c r="A156" s="18">
        <v>46225.0</v>
      </c>
      <c r="B156" s="19" t="s">
        <v>118</v>
      </c>
      <c r="C156" s="19" t="s">
        <v>169</v>
      </c>
      <c r="D156" s="19" t="s">
        <v>121</v>
      </c>
      <c r="E156" s="14">
        <f t="shared" si="1"/>
        <v>15</v>
      </c>
      <c r="F156" s="19">
        <f t="shared" si="2"/>
        <v>9</v>
      </c>
      <c r="G156" s="20">
        <f t="shared" si="3"/>
        <v>0.6</v>
      </c>
      <c r="H156" s="19">
        <v>21.0</v>
      </c>
      <c r="I156" s="19">
        <v>26.0</v>
      </c>
      <c r="J156" s="19">
        <v>1.0</v>
      </c>
      <c r="K156" s="19">
        <v>4.4</v>
      </c>
      <c r="L156" s="19">
        <v>33.0</v>
      </c>
      <c r="M156" s="19">
        <v>51.0</v>
      </c>
      <c r="N156" s="19">
        <v>5.6</v>
      </c>
      <c r="O156" s="19" t="s">
        <v>143</v>
      </c>
      <c r="P156" s="19" t="s">
        <v>191</v>
      </c>
      <c r="Q156" s="20">
        <f t="shared" si="4"/>
        <v>0.6</v>
      </c>
      <c r="R156" s="20">
        <f t="shared" si="5"/>
        <v>0.8076923077</v>
      </c>
      <c r="S156" s="20">
        <f t="shared" si="6"/>
        <v>0.03846153846</v>
      </c>
      <c r="T156" s="20">
        <f t="shared" si="7"/>
        <v>0.6470588235</v>
      </c>
      <c r="U156" s="20">
        <f>IF(B156="","",MIN(Q156/Targets!$B$2,1)*Targets!$D$2+MIN(G156/100/Targets!$B$3,1)*Targets!$D$3+MIN(T156/Targets!$B$4,1)*Targets!$D$4+MIN(R156/Targets!$B$5,1)*Targets!$D$5+MIN(N156/Targets!$B$6,1)*Targets!$D$6+MIN(Targets!$B$7/MAX(S156,0.0001),1)*Targets!$D$7)</f>
        <v>0.550706835</v>
      </c>
    </row>
    <row r="157">
      <c r="A157" s="18">
        <v>46225.0</v>
      </c>
      <c r="B157" s="19" t="s">
        <v>123</v>
      </c>
      <c r="C157" s="19" t="s">
        <v>171</v>
      </c>
      <c r="D157" s="19" t="s">
        <v>121</v>
      </c>
      <c r="E157" s="14">
        <f t="shared" si="1"/>
        <v>7</v>
      </c>
      <c r="F157" s="19">
        <f t="shared" si="2"/>
        <v>10</v>
      </c>
      <c r="G157" s="20">
        <f t="shared" si="3"/>
        <v>1.428571429</v>
      </c>
      <c r="H157" s="19">
        <v>26.0</v>
      </c>
      <c r="I157" s="19">
        <v>30.0</v>
      </c>
      <c r="J157" s="19">
        <v>2.0</v>
      </c>
      <c r="K157" s="19">
        <v>4.2</v>
      </c>
      <c r="L157" s="19">
        <v>36.0</v>
      </c>
      <c r="M157" s="19">
        <v>45.0</v>
      </c>
      <c r="N157" s="19">
        <v>7.0</v>
      </c>
      <c r="O157" s="19" t="s">
        <v>143</v>
      </c>
      <c r="P157" s="19" t="s">
        <v>168</v>
      </c>
      <c r="Q157" s="20">
        <f t="shared" si="4"/>
        <v>1.428571429</v>
      </c>
      <c r="R157" s="20">
        <f t="shared" si="5"/>
        <v>0.8666666667</v>
      </c>
      <c r="S157" s="20">
        <f t="shared" si="6"/>
        <v>0.06666666667</v>
      </c>
      <c r="T157" s="20">
        <f t="shared" si="7"/>
        <v>0.8</v>
      </c>
      <c r="U157" s="20">
        <f>IF(B157="","",MIN(Q157/Targets!$B$2,1)*Targets!$D$2+MIN(G157/100/Targets!$B$3,1)*Targets!$D$3+MIN(T157/Targets!$B$4,1)*Targets!$D$4+MIN(R157/Targets!$B$5,1)*Targets!$D$5+MIN(N157/Targets!$B$6,1)*Targets!$D$6+MIN(Targets!$B$7/MAX(S157,0.0001),1)*Targets!$D$7)</f>
        <v>0.6499373434</v>
      </c>
    </row>
    <row r="158">
      <c r="A158" s="18">
        <v>46225.0</v>
      </c>
      <c r="B158" s="19" t="s">
        <v>126</v>
      </c>
      <c r="C158" s="19" t="s">
        <v>179</v>
      </c>
      <c r="D158" s="19" t="s">
        <v>121</v>
      </c>
      <c r="E158" s="14">
        <f t="shared" si="1"/>
        <v>15</v>
      </c>
      <c r="F158" s="19">
        <f t="shared" si="2"/>
        <v>15</v>
      </c>
      <c r="G158" s="20">
        <f t="shared" si="3"/>
        <v>1</v>
      </c>
      <c r="H158" s="19">
        <v>26.0</v>
      </c>
      <c r="I158" s="19">
        <v>32.0</v>
      </c>
      <c r="J158" s="19">
        <v>1.0</v>
      </c>
      <c r="K158" s="19">
        <v>4.8</v>
      </c>
      <c r="L158" s="19">
        <v>32.0</v>
      </c>
      <c r="M158" s="19">
        <v>41.0</v>
      </c>
      <c r="N158" s="19">
        <v>5.9</v>
      </c>
      <c r="O158" s="19" t="s">
        <v>143</v>
      </c>
      <c r="P158" s="19" t="s">
        <v>168</v>
      </c>
      <c r="Q158" s="20">
        <f t="shared" si="4"/>
        <v>1</v>
      </c>
      <c r="R158" s="20">
        <f t="shared" si="5"/>
        <v>0.8125</v>
      </c>
      <c r="S158" s="20">
        <f t="shared" si="6"/>
        <v>0.03125</v>
      </c>
      <c r="T158" s="20">
        <f t="shared" si="7"/>
        <v>0.7804878049</v>
      </c>
      <c r="U158" s="20">
        <f>IF(B158="","",MIN(Q158/Targets!$B$2,1)*Targets!$D$2+MIN(G158/100/Targets!$B$3,1)*Targets!$D$3+MIN(T158/Targets!$B$4,1)*Targets!$D$4+MIN(R158/Targets!$B$5,1)*Targets!$D$5+MIN(N158/Targets!$B$6,1)*Targets!$D$6+MIN(Targets!$B$7/MAX(S158,0.0001),1)*Targets!$D$7)</f>
        <v>0.6459898221</v>
      </c>
    </row>
    <row r="159">
      <c r="A159" s="18">
        <v>46225.0</v>
      </c>
      <c r="B159" s="19" t="s">
        <v>129</v>
      </c>
      <c r="C159" s="19" t="s">
        <v>188</v>
      </c>
      <c r="D159" s="19" t="s">
        <v>121</v>
      </c>
      <c r="E159" s="14">
        <f t="shared" si="1"/>
        <v>9</v>
      </c>
      <c r="F159" s="19">
        <f t="shared" si="2"/>
        <v>10</v>
      </c>
      <c r="G159" s="20">
        <f t="shared" si="3"/>
        <v>1.111111111</v>
      </c>
      <c r="H159" s="19">
        <v>49.0</v>
      </c>
      <c r="I159" s="19">
        <v>52.0</v>
      </c>
      <c r="J159" s="19">
        <v>4.0</v>
      </c>
      <c r="K159" s="19">
        <v>1.5</v>
      </c>
      <c r="L159" s="19">
        <v>66.0</v>
      </c>
      <c r="M159" s="19">
        <v>68.0</v>
      </c>
      <c r="N159" s="19">
        <v>8.2</v>
      </c>
      <c r="O159" s="19" t="s">
        <v>143</v>
      </c>
      <c r="P159" s="19" t="s">
        <v>186</v>
      </c>
      <c r="Q159" s="20">
        <f t="shared" si="4"/>
        <v>1.111111111</v>
      </c>
      <c r="R159" s="20">
        <f t="shared" si="5"/>
        <v>0.9423076923</v>
      </c>
      <c r="S159" s="20">
        <f t="shared" si="6"/>
        <v>0.07692307692</v>
      </c>
      <c r="T159" s="20">
        <f t="shared" si="7"/>
        <v>0.9705882353</v>
      </c>
      <c r="U159" s="20">
        <f>IF(B159="","",MIN(Q159/Targets!$B$2,1)*Targets!$D$2+MIN(G159/100/Targets!$B$3,1)*Targets!$D$3+MIN(T159/Targets!$B$4,1)*Targets!$D$4+MIN(R159/Targets!$B$5,1)*Targets!$D$5+MIN(N159/Targets!$B$6,1)*Targets!$D$6+MIN(Targets!$B$7/MAX(S159,0.0001),1)*Targets!$D$7)</f>
        <v>0.6674891288</v>
      </c>
    </row>
    <row r="160">
      <c r="A160" s="18">
        <v>46225.0</v>
      </c>
      <c r="B160" s="19" t="s">
        <v>132</v>
      </c>
      <c r="C160" s="19" t="s">
        <v>190</v>
      </c>
      <c r="D160" s="19" t="s">
        <v>121</v>
      </c>
      <c r="E160" s="14">
        <f t="shared" si="1"/>
        <v>15</v>
      </c>
      <c r="F160" s="19">
        <f t="shared" si="2"/>
        <v>13</v>
      </c>
      <c r="G160" s="20">
        <f t="shared" si="3"/>
        <v>0.8666666667</v>
      </c>
      <c r="H160" s="19">
        <v>52.0</v>
      </c>
      <c r="I160" s="19">
        <v>55.0</v>
      </c>
      <c r="J160" s="19">
        <v>3.0</v>
      </c>
      <c r="K160" s="19">
        <v>2.1</v>
      </c>
      <c r="L160" s="19">
        <v>63.0</v>
      </c>
      <c r="M160" s="19">
        <v>71.0</v>
      </c>
      <c r="N160" s="19">
        <v>7.4</v>
      </c>
      <c r="O160" s="19" t="s">
        <v>143</v>
      </c>
      <c r="P160" s="19" t="s">
        <v>191</v>
      </c>
      <c r="Q160" s="20">
        <f t="shared" si="4"/>
        <v>0.8666666667</v>
      </c>
      <c r="R160" s="20">
        <f t="shared" si="5"/>
        <v>0.9454545455</v>
      </c>
      <c r="S160" s="20">
        <f t="shared" si="6"/>
        <v>0.05454545455</v>
      </c>
      <c r="T160" s="20">
        <f t="shared" si="7"/>
        <v>0.8873239437</v>
      </c>
      <c r="U160" s="20">
        <f>IF(B160="","",MIN(Q160/Targets!$B$2,1)*Targets!$D$2+MIN(G160/100/Targets!$B$3,1)*Targets!$D$3+MIN(T160/Targets!$B$4,1)*Targets!$D$4+MIN(R160/Targets!$B$5,1)*Targets!$D$5+MIN(N160/Targets!$B$6,1)*Targets!$D$6+MIN(Targets!$B$7/MAX(S160,0.0001),1)*Targets!$D$7)</f>
        <v>0.6843177687</v>
      </c>
    </row>
    <row r="161">
      <c r="A161" s="18">
        <v>46225.0</v>
      </c>
      <c r="B161" s="19" t="s">
        <v>135</v>
      </c>
      <c r="C161" s="19" t="s">
        <v>169</v>
      </c>
      <c r="D161" s="19" t="s">
        <v>121</v>
      </c>
      <c r="E161" s="14">
        <f t="shared" si="1"/>
        <v>8</v>
      </c>
      <c r="F161" s="19">
        <f t="shared" si="2"/>
        <v>7</v>
      </c>
      <c r="G161" s="20">
        <f t="shared" si="3"/>
        <v>0.875</v>
      </c>
      <c r="H161" s="19">
        <v>33.0</v>
      </c>
      <c r="I161" s="19">
        <v>37.0</v>
      </c>
      <c r="J161" s="19">
        <v>2.0</v>
      </c>
      <c r="K161" s="19">
        <v>4.6</v>
      </c>
      <c r="L161" s="19">
        <v>23.0</v>
      </c>
      <c r="M161" s="19">
        <v>30.0</v>
      </c>
      <c r="N161" s="19">
        <v>2.9</v>
      </c>
      <c r="O161" s="19" t="s">
        <v>200</v>
      </c>
      <c r="P161" s="19" t="s">
        <v>168</v>
      </c>
      <c r="Q161" s="20">
        <f t="shared" si="4"/>
        <v>0.875</v>
      </c>
      <c r="R161" s="20">
        <f t="shared" si="5"/>
        <v>0.8918918919</v>
      </c>
      <c r="S161" s="20">
        <f t="shared" si="6"/>
        <v>0.05405405405</v>
      </c>
      <c r="T161" s="20">
        <f t="shared" si="7"/>
        <v>0.7666666667</v>
      </c>
      <c r="U161" s="20">
        <f>IF(B161="","",MIN(Q161/Targets!$B$2,1)*Targets!$D$2+MIN(G161/100/Targets!$B$3,1)*Targets!$D$3+MIN(T161/Targets!$B$4,1)*Targets!$D$4+MIN(R161/Targets!$B$5,1)*Targets!$D$5+MIN(N161/Targets!$B$6,1)*Targets!$D$6+MIN(Targets!$B$7/MAX(S161,0.0001),1)*Targets!$D$7)</f>
        <v>0.5998924959</v>
      </c>
    </row>
    <row r="162">
      <c r="A162" s="18">
        <v>46226.0</v>
      </c>
      <c r="B162" s="19" t="s">
        <v>10</v>
      </c>
      <c r="C162" s="19" t="s">
        <v>14</v>
      </c>
      <c r="D162" s="19" t="s">
        <v>121</v>
      </c>
      <c r="E162" s="14">
        <f t="shared" si="1"/>
        <v>14</v>
      </c>
      <c r="F162" s="19">
        <f t="shared" si="2"/>
        <v>13</v>
      </c>
      <c r="G162" s="20">
        <f t="shared" si="3"/>
        <v>0.9285714286</v>
      </c>
      <c r="H162" s="19">
        <v>42.0</v>
      </c>
      <c r="I162" s="19">
        <v>43.0</v>
      </c>
      <c r="J162" s="19">
        <v>3.0</v>
      </c>
      <c r="K162" s="19">
        <v>2.5</v>
      </c>
      <c r="L162" s="19">
        <v>51.0</v>
      </c>
      <c r="M162" s="19">
        <v>52.0</v>
      </c>
      <c r="N162" s="19">
        <v>7.9</v>
      </c>
      <c r="O162" s="19" t="s">
        <v>143</v>
      </c>
      <c r="P162" s="19" t="s">
        <v>191</v>
      </c>
      <c r="Q162" s="20">
        <f t="shared" si="4"/>
        <v>0.9285714286</v>
      </c>
      <c r="R162" s="20">
        <f t="shared" si="5"/>
        <v>0.976744186</v>
      </c>
      <c r="S162" s="20">
        <f t="shared" si="6"/>
        <v>0.06976744186</v>
      </c>
      <c r="T162" s="20">
        <f t="shared" si="7"/>
        <v>0.9807692308</v>
      </c>
      <c r="U162" s="20">
        <f>IF(B162="","",MIN(Q162/Targets!$B$2,1)*Targets!$D$2+MIN(G162/100/Targets!$B$3,1)*Targets!$D$3+MIN(T162/Targets!$B$4,1)*Targets!$D$4+MIN(R162/Targets!$B$5,1)*Targets!$D$5+MIN(N162/Targets!$B$6,1)*Targets!$D$6+MIN(Targets!$B$7/MAX(S162,0.0001),1)*Targets!$D$7)</f>
        <v>0.6747619048</v>
      </c>
    </row>
    <row r="163">
      <c r="A163" s="18">
        <v>46226.0</v>
      </c>
      <c r="B163" s="19" t="s">
        <v>25</v>
      </c>
      <c r="C163" s="19" t="s">
        <v>167</v>
      </c>
      <c r="D163" s="19" t="s">
        <v>121</v>
      </c>
      <c r="E163" s="14">
        <f t="shared" si="1"/>
        <v>12</v>
      </c>
      <c r="F163" s="19">
        <f t="shared" si="2"/>
        <v>10</v>
      </c>
      <c r="G163" s="20">
        <f t="shared" si="3"/>
        <v>0.8333333333</v>
      </c>
      <c r="H163" s="19">
        <v>39.0</v>
      </c>
      <c r="I163" s="19">
        <v>41.0</v>
      </c>
      <c r="J163" s="19">
        <v>2.0</v>
      </c>
      <c r="K163" s="19">
        <v>2.0</v>
      </c>
      <c r="L163" s="19">
        <v>43.0</v>
      </c>
      <c r="M163" s="19">
        <v>51.0</v>
      </c>
      <c r="N163" s="19">
        <v>7.7</v>
      </c>
      <c r="O163" s="19" t="s">
        <v>143</v>
      </c>
      <c r="P163" s="19" t="s">
        <v>189</v>
      </c>
      <c r="Q163" s="20">
        <f t="shared" si="4"/>
        <v>0.8333333333</v>
      </c>
      <c r="R163" s="20">
        <f t="shared" si="5"/>
        <v>0.9512195122</v>
      </c>
      <c r="S163" s="20">
        <f t="shared" si="6"/>
        <v>0.0487804878</v>
      </c>
      <c r="T163" s="20">
        <f t="shared" si="7"/>
        <v>0.8431372549</v>
      </c>
      <c r="U163" s="20">
        <f>IF(B163="","",MIN(Q163/Targets!$B$2,1)*Targets!$D$2+MIN(G163/100/Targets!$B$3,1)*Targets!$D$3+MIN(T163/Targets!$B$4,1)*Targets!$D$4+MIN(R163/Targets!$B$5,1)*Targets!$D$5+MIN(N163/Targets!$B$6,1)*Targets!$D$6+MIN(Targets!$B$7/MAX(S163,0.0001),1)*Targets!$D$7)</f>
        <v>0.6784858388</v>
      </c>
    </row>
    <row r="164">
      <c r="A164" s="18">
        <v>46226.0</v>
      </c>
      <c r="B164" s="19" t="s">
        <v>37</v>
      </c>
      <c r="C164" s="19" t="s">
        <v>169</v>
      </c>
      <c r="D164" s="19" t="s">
        <v>121</v>
      </c>
      <c r="E164" s="14">
        <f t="shared" si="1"/>
        <v>8</v>
      </c>
      <c r="F164" s="19">
        <f t="shared" si="2"/>
        <v>13</v>
      </c>
      <c r="G164" s="20">
        <f t="shared" si="3"/>
        <v>1.625</v>
      </c>
      <c r="H164" s="19">
        <v>22.0</v>
      </c>
      <c r="I164" s="19">
        <v>27.0</v>
      </c>
      <c r="J164" s="19">
        <v>1.0</v>
      </c>
      <c r="K164" s="19">
        <v>4.6</v>
      </c>
      <c r="L164" s="19">
        <v>17.0</v>
      </c>
      <c r="M164" s="19">
        <v>21.0</v>
      </c>
      <c r="N164" s="19">
        <v>3.9</v>
      </c>
      <c r="O164" s="19" t="s">
        <v>200</v>
      </c>
      <c r="P164" s="19" t="s">
        <v>144</v>
      </c>
      <c r="Q164" s="20">
        <f t="shared" si="4"/>
        <v>1.625</v>
      </c>
      <c r="R164" s="20">
        <f t="shared" si="5"/>
        <v>0.8148148148</v>
      </c>
      <c r="S164" s="20">
        <f t="shared" si="6"/>
        <v>0.03703703704</v>
      </c>
      <c r="T164" s="20">
        <f t="shared" si="7"/>
        <v>0.8095238095</v>
      </c>
      <c r="U164" s="20">
        <f>IF(B164="","",MIN(Q164/Targets!$B$2,1)*Targets!$D$2+MIN(G164/100/Targets!$B$3,1)*Targets!$D$3+MIN(T164/Targets!$B$4,1)*Targets!$D$4+MIN(R164/Targets!$B$5,1)*Targets!$D$5+MIN(N164/Targets!$B$6,1)*Targets!$D$6+MIN(Targets!$B$7/MAX(S164,0.0001),1)*Targets!$D$7)</f>
        <v>0.6247065581</v>
      </c>
    </row>
    <row r="165">
      <c r="A165" s="18">
        <v>46226.0</v>
      </c>
      <c r="B165" s="19" t="s">
        <v>42</v>
      </c>
      <c r="C165" s="19" t="s">
        <v>171</v>
      </c>
      <c r="D165" s="19" t="s">
        <v>121</v>
      </c>
      <c r="E165" s="14">
        <f t="shared" si="1"/>
        <v>7</v>
      </c>
      <c r="F165" s="19">
        <f t="shared" si="2"/>
        <v>11</v>
      </c>
      <c r="G165" s="20">
        <f t="shared" si="3"/>
        <v>1.571428571</v>
      </c>
      <c r="H165" s="19">
        <v>24.0</v>
      </c>
      <c r="I165" s="19">
        <v>29.0</v>
      </c>
      <c r="J165" s="19">
        <v>2.0</v>
      </c>
      <c r="K165" s="19">
        <v>4.5</v>
      </c>
      <c r="L165" s="19">
        <v>31.0</v>
      </c>
      <c r="M165" s="19">
        <v>42.0</v>
      </c>
      <c r="N165" s="19">
        <v>5.0</v>
      </c>
      <c r="O165" s="19" t="s">
        <v>143</v>
      </c>
      <c r="P165" s="19" t="s">
        <v>178</v>
      </c>
      <c r="Q165" s="20">
        <f t="shared" si="4"/>
        <v>1.571428571</v>
      </c>
      <c r="R165" s="20">
        <f t="shared" si="5"/>
        <v>0.8275862069</v>
      </c>
      <c r="S165" s="20">
        <f t="shared" si="6"/>
        <v>0.06896551724</v>
      </c>
      <c r="T165" s="20">
        <f t="shared" si="7"/>
        <v>0.7380952381</v>
      </c>
      <c r="U165" s="20">
        <f>IF(B165="","",MIN(Q165/Targets!$B$2,1)*Targets!$D$2+MIN(G165/100/Targets!$B$3,1)*Targets!$D$3+MIN(T165/Targets!$B$4,1)*Targets!$D$4+MIN(R165/Targets!$B$5,1)*Targets!$D$5+MIN(N165/Targets!$B$6,1)*Targets!$D$6+MIN(Targets!$B$7/MAX(S165,0.0001),1)*Targets!$D$7)</f>
        <v>0.602854046</v>
      </c>
    </row>
    <row r="166">
      <c r="A166" s="18">
        <v>46226.0</v>
      </c>
      <c r="B166" s="19" t="s">
        <v>46</v>
      </c>
      <c r="C166" s="19" t="s">
        <v>179</v>
      </c>
      <c r="D166" s="19" t="s">
        <v>121</v>
      </c>
      <c r="E166" s="14">
        <f t="shared" si="1"/>
        <v>15</v>
      </c>
      <c r="F166" s="19">
        <f t="shared" si="2"/>
        <v>9</v>
      </c>
      <c r="G166" s="20">
        <f t="shared" si="3"/>
        <v>0.6</v>
      </c>
      <c r="H166" s="19">
        <v>32.0</v>
      </c>
      <c r="I166" s="19">
        <v>37.0</v>
      </c>
      <c r="J166" s="19">
        <v>2.0</v>
      </c>
      <c r="K166" s="19">
        <v>5.5</v>
      </c>
      <c r="L166" s="19">
        <v>39.0</v>
      </c>
      <c r="M166" s="19">
        <v>53.0</v>
      </c>
      <c r="N166" s="19">
        <v>6.3</v>
      </c>
      <c r="O166" s="19" t="s">
        <v>143</v>
      </c>
      <c r="P166" s="19" t="s">
        <v>187</v>
      </c>
      <c r="Q166" s="20">
        <f t="shared" si="4"/>
        <v>0.6</v>
      </c>
      <c r="R166" s="20">
        <f t="shared" si="5"/>
        <v>0.8648648649</v>
      </c>
      <c r="S166" s="20">
        <f t="shared" si="6"/>
        <v>0.05405405405</v>
      </c>
      <c r="T166" s="20">
        <f t="shared" si="7"/>
        <v>0.7358490566</v>
      </c>
      <c r="U166" s="20">
        <f>IF(B166="","",MIN(Q166/Targets!$B$2,1)*Targets!$D$2+MIN(G166/100/Targets!$B$3,1)*Targets!$D$3+MIN(T166/Targets!$B$4,1)*Targets!$D$4+MIN(R166/Targets!$B$5,1)*Targets!$D$5+MIN(N166/Targets!$B$6,1)*Targets!$D$6+MIN(Targets!$B$7/MAX(S166,0.0001),1)*Targets!$D$7)</f>
        <v>0.577032453</v>
      </c>
    </row>
    <row r="167">
      <c r="A167" s="18">
        <v>46226.0</v>
      </c>
      <c r="B167" s="19" t="s">
        <v>53</v>
      </c>
      <c r="C167" s="19" t="s">
        <v>14</v>
      </c>
      <c r="D167" s="19" t="s">
        <v>121</v>
      </c>
      <c r="E167" s="14">
        <f t="shared" si="1"/>
        <v>12</v>
      </c>
      <c r="F167" s="19">
        <f t="shared" si="2"/>
        <v>7</v>
      </c>
      <c r="G167" s="20">
        <f t="shared" si="3"/>
        <v>0.5833333333</v>
      </c>
      <c r="H167" s="19">
        <v>37.0</v>
      </c>
      <c r="I167" s="19">
        <v>39.0</v>
      </c>
      <c r="J167" s="19">
        <v>1.0</v>
      </c>
      <c r="K167" s="19">
        <v>2.5</v>
      </c>
      <c r="L167" s="19">
        <v>52.0</v>
      </c>
      <c r="M167" s="19">
        <v>57.0</v>
      </c>
      <c r="N167" s="19">
        <v>7.4</v>
      </c>
      <c r="O167" s="19" t="s">
        <v>143</v>
      </c>
      <c r="P167" s="19" t="s">
        <v>144</v>
      </c>
      <c r="Q167" s="20">
        <f t="shared" si="4"/>
        <v>0.5833333333</v>
      </c>
      <c r="R167" s="20">
        <f t="shared" si="5"/>
        <v>0.9487179487</v>
      </c>
      <c r="S167" s="20">
        <f t="shared" si="6"/>
        <v>0.02564102564</v>
      </c>
      <c r="T167" s="20">
        <f t="shared" si="7"/>
        <v>0.9122807018</v>
      </c>
      <c r="U167" s="20">
        <f>IF(B167="","",MIN(Q167/Targets!$B$2,1)*Targets!$D$2+MIN(G167/100/Targets!$B$3,1)*Targets!$D$3+MIN(T167/Targets!$B$4,1)*Targets!$D$4+MIN(R167/Targets!$B$5,1)*Targets!$D$5+MIN(N167/Targets!$B$6,1)*Targets!$D$6+MIN(Targets!$B$7/MAX(S167,0.0001),1)*Targets!$D$7)</f>
        <v>0.6313716449</v>
      </c>
    </row>
    <row r="168">
      <c r="A168" s="18">
        <v>46226.0</v>
      </c>
      <c r="B168" s="19" t="s">
        <v>65</v>
      </c>
      <c r="C168" s="19" t="s">
        <v>167</v>
      </c>
      <c r="D168" s="19" t="s">
        <v>121</v>
      </c>
      <c r="E168" s="14">
        <f t="shared" si="1"/>
        <v>14</v>
      </c>
      <c r="F168" s="19">
        <f t="shared" si="2"/>
        <v>8</v>
      </c>
      <c r="G168" s="20">
        <f t="shared" si="3"/>
        <v>0.5714285714</v>
      </c>
      <c r="H168" s="19">
        <v>28.0</v>
      </c>
      <c r="I168" s="19">
        <v>31.0</v>
      </c>
      <c r="J168" s="19">
        <v>2.0</v>
      </c>
      <c r="K168" s="19">
        <v>2.6</v>
      </c>
      <c r="L168" s="19">
        <v>42.0</v>
      </c>
      <c r="M168" s="19">
        <v>50.0</v>
      </c>
      <c r="N168" s="19">
        <v>7.1</v>
      </c>
      <c r="O168" s="19" t="s">
        <v>143</v>
      </c>
      <c r="P168" s="19" t="s">
        <v>144</v>
      </c>
      <c r="Q168" s="20">
        <f t="shared" si="4"/>
        <v>0.5714285714</v>
      </c>
      <c r="R168" s="20">
        <f t="shared" si="5"/>
        <v>0.9032258065</v>
      </c>
      <c r="S168" s="20">
        <f t="shared" si="6"/>
        <v>0.06451612903</v>
      </c>
      <c r="T168" s="20">
        <f t="shared" si="7"/>
        <v>0.84</v>
      </c>
      <c r="U168" s="20">
        <f>IF(B168="","",MIN(Q168/Targets!$B$2,1)*Targets!$D$2+MIN(G168/100/Targets!$B$3,1)*Targets!$D$3+MIN(T168/Targets!$B$4,1)*Targets!$D$4+MIN(R168/Targets!$B$5,1)*Targets!$D$5+MIN(N168/Targets!$B$6,1)*Targets!$D$6+MIN(Targets!$B$7/MAX(S168,0.0001),1)*Targets!$D$7)</f>
        <v>0.5890034899</v>
      </c>
    </row>
    <row r="169">
      <c r="A169" s="18">
        <v>46226.0</v>
      </c>
      <c r="B169" s="19" t="s">
        <v>73</v>
      </c>
      <c r="C169" s="19" t="s">
        <v>169</v>
      </c>
      <c r="D169" s="19" t="s">
        <v>121</v>
      </c>
      <c r="E169" s="14">
        <f t="shared" si="1"/>
        <v>15</v>
      </c>
      <c r="F169" s="19">
        <f t="shared" si="2"/>
        <v>10</v>
      </c>
      <c r="G169" s="20">
        <f t="shared" si="3"/>
        <v>0.6666666667</v>
      </c>
      <c r="H169" s="19">
        <v>34.0</v>
      </c>
      <c r="I169" s="19">
        <v>37.0</v>
      </c>
      <c r="J169" s="19">
        <v>2.0</v>
      </c>
      <c r="K169" s="19">
        <v>2.9</v>
      </c>
      <c r="L169" s="19">
        <v>47.0</v>
      </c>
      <c r="M169" s="19">
        <v>59.0</v>
      </c>
      <c r="N169" s="19">
        <v>7.7</v>
      </c>
      <c r="O169" s="19" t="s">
        <v>143</v>
      </c>
      <c r="P169" s="19" t="s">
        <v>187</v>
      </c>
      <c r="Q169" s="20">
        <f t="shared" si="4"/>
        <v>0.6666666667</v>
      </c>
      <c r="R169" s="20">
        <f t="shared" si="5"/>
        <v>0.9189189189</v>
      </c>
      <c r="S169" s="20">
        <f t="shared" si="6"/>
        <v>0.05405405405</v>
      </c>
      <c r="T169" s="20">
        <f t="shared" si="7"/>
        <v>0.7966101695</v>
      </c>
      <c r="U169" s="20">
        <f>IF(B169="","",MIN(Q169/Targets!$B$2,1)*Targets!$D$2+MIN(G169/100/Targets!$B$3,1)*Targets!$D$3+MIN(T169/Targets!$B$4,1)*Targets!$D$4+MIN(R169/Targets!$B$5,1)*Targets!$D$5+MIN(N169/Targets!$B$6,1)*Targets!$D$6+MIN(Targets!$B$7/MAX(S169,0.0001),1)*Targets!$D$7)</f>
        <v>0.6207311928</v>
      </c>
    </row>
    <row r="170">
      <c r="A170" s="18">
        <v>46226.0</v>
      </c>
      <c r="B170" s="19" t="s">
        <v>78</v>
      </c>
      <c r="C170" s="19" t="s">
        <v>171</v>
      </c>
      <c r="D170" s="19" t="s">
        <v>121</v>
      </c>
      <c r="E170" s="14">
        <f t="shared" si="1"/>
        <v>16</v>
      </c>
      <c r="F170" s="19">
        <f t="shared" si="2"/>
        <v>8</v>
      </c>
      <c r="G170" s="20">
        <f t="shared" si="3"/>
        <v>0.5</v>
      </c>
      <c r="H170" s="19">
        <v>49.0</v>
      </c>
      <c r="I170" s="19">
        <v>56.0</v>
      </c>
      <c r="J170" s="19">
        <v>4.0</v>
      </c>
      <c r="K170" s="19">
        <v>2.6</v>
      </c>
      <c r="L170" s="19">
        <v>54.0</v>
      </c>
      <c r="M170" s="19">
        <v>61.0</v>
      </c>
      <c r="N170" s="19">
        <v>7.7</v>
      </c>
      <c r="O170" s="19" t="s">
        <v>143</v>
      </c>
      <c r="P170" s="19" t="s">
        <v>189</v>
      </c>
      <c r="Q170" s="20">
        <f t="shared" si="4"/>
        <v>0.5</v>
      </c>
      <c r="R170" s="20">
        <f t="shared" si="5"/>
        <v>0.875</v>
      </c>
      <c r="S170" s="20">
        <f t="shared" si="6"/>
        <v>0.07142857143</v>
      </c>
      <c r="T170" s="20">
        <f t="shared" si="7"/>
        <v>0.8852459016</v>
      </c>
      <c r="U170" s="20">
        <f>IF(B170="","",MIN(Q170/Targets!$B$2,1)*Targets!$D$2+MIN(G170/100/Targets!$B$3,1)*Targets!$D$3+MIN(T170/Targets!$B$4,1)*Targets!$D$4+MIN(R170/Targets!$B$5,1)*Targets!$D$5+MIN(N170/Targets!$B$6,1)*Targets!$D$6+MIN(Targets!$B$7/MAX(S170,0.0001),1)*Targets!$D$7)</f>
        <v>0.5684766561</v>
      </c>
    </row>
    <row r="171">
      <c r="A171" s="18">
        <v>46226.0</v>
      </c>
      <c r="B171" s="19" t="s">
        <v>84</v>
      </c>
      <c r="C171" s="19" t="s">
        <v>179</v>
      </c>
      <c r="D171" s="19" t="s">
        <v>121</v>
      </c>
      <c r="E171" s="14">
        <f t="shared" si="1"/>
        <v>14</v>
      </c>
      <c r="F171" s="19">
        <f t="shared" si="2"/>
        <v>13</v>
      </c>
      <c r="G171" s="20">
        <f t="shared" si="3"/>
        <v>0.9285714286</v>
      </c>
      <c r="H171" s="19">
        <v>56.0</v>
      </c>
      <c r="I171" s="19">
        <v>60.0</v>
      </c>
      <c r="J171" s="19">
        <v>2.0</v>
      </c>
      <c r="K171" s="19">
        <v>1.8</v>
      </c>
      <c r="L171" s="19">
        <v>60.0</v>
      </c>
      <c r="M171" s="19">
        <v>63.0</v>
      </c>
      <c r="N171" s="19">
        <v>8.3</v>
      </c>
      <c r="O171" s="19" t="s">
        <v>143</v>
      </c>
      <c r="P171" s="19" t="s">
        <v>186</v>
      </c>
      <c r="Q171" s="20">
        <f t="shared" si="4"/>
        <v>0.9285714286</v>
      </c>
      <c r="R171" s="20">
        <f t="shared" si="5"/>
        <v>0.9333333333</v>
      </c>
      <c r="S171" s="20">
        <f t="shared" si="6"/>
        <v>0.03333333333</v>
      </c>
      <c r="T171" s="20">
        <f t="shared" si="7"/>
        <v>0.9523809524</v>
      </c>
      <c r="U171" s="20">
        <f>IF(B171="","",MIN(Q171/Targets!$B$2,1)*Targets!$D$2+MIN(G171/100/Targets!$B$3,1)*Targets!$D$3+MIN(T171/Targets!$B$4,1)*Targets!$D$4+MIN(R171/Targets!$B$5,1)*Targets!$D$5+MIN(N171/Targets!$B$6,1)*Targets!$D$6+MIN(Targets!$B$7/MAX(S171,0.0001),1)*Targets!$D$7)</f>
        <v>0.7004636591</v>
      </c>
    </row>
    <row r="172">
      <c r="A172" s="18">
        <v>46226.0</v>
      </c>
      <c r="B172" s="19" t="s">
        <v>91</v>
      </c>
      <c r="C172" s="19" t="s">
        <v>188</v>
      </c>
      <c r="D172" s="19" t="s">
        <v>121</v>
      </c>
      <c r="E172" s="14">
        <f t="shared" si="1"/>
        <v>15</v>
      </c>
      <c r="F172" s="19">
        <f t="shared" si="2"/>
        <v>12</v>
      </c>
      <c r="G172" s="20">
        <f t="shared" si="3"/>
        <v>0.8</v>
      </c>
      <c r="H172" s="19">
        <v>42.0</v>
      </c>
      <c r="I172" s="19">
        <v>46.0</v>
      </c>
      <c r="J172" s="19">
        <v>3.0</v>
      </c>
      <c r="K172" s="19">
        <v>4.5</v>
      </c>
      <c r="L172" s="19">
        <v>47.0</v>
      </c>
      <c r="M172" s="19">
        <v>55.0</v>
      </c>
      <c r="N172" s="19">
        <v>6.6</v>
      </c>
      <c r="O172" s="19" t="s">
        <v>143</v>
      </c>
      <c r="P172" s="19" t="s">
        <v>186</v>
      </c>
      <c r="Q172" s="20">
        <f t="shared" si="4"/>
        <v>0.8</v>
      </c>
      <c r="R172" s="20">
        <f t="shared" si="5"/>
        <v>0.9130434783</v>
      </c>
      <c r="S172" s="20">
        <f t="shared" si="6"/>
        <v>0.0652173913</v>
      </c>
      <c r="T172" s="20">
        <f t="shared" si="7"/>
        <v>0.8545454545</v>
      </c>
      <c r="U172" s="20">
        <f>IF(B172="","",MIN(Q172/Targets!$B$2,1)*Targets!$D$2+MIN(G172/100/Targets!$B$3,1)*Targets!$D$3+MIN(T172/Targets!$B$4,1)*Targets!$D$4+MIN(R172/Targets!$B$5,1)*Targets!$D$5+MIN(N172/Targets!$B$6,1)*Targets!$D$6+MIN(Targets!$B$7/MAX(S172,0.0001),1)*Targets!$D$7)</f>
        <v>0.6379858275</v>
      </c>
    </row>
    <row r="173">
      <c r="A173" s="18">
        <v>46226.0</v>
      </c>
      <c r="B173" s="19" t="s">
        <v>100</v>
      </c>
      <c r="C173" s="19" t="s">
        <v>190</v>
      </c>
      <c r="D173" s="19" t="s">
        <v>121</v>
      </c>
      <c r="E173" s="14">
        <f t="shared" si="1"/>
        <v>13</v>
      </c>
      <c r="F173" s="19">
        <f t="shared" si="2"/>
        <v>7</v>
      </c>
      <c r="G173" s="20">
        <f t="shared" si="3"/>
        <v>0.5384615385</v>
      </c>
      <c r="H173" s="19">
        <v>29.0</v>
      </c>
      <c r="I173" s="19">
        <v>34.0</v>
      </c>
      <c r="J173" s="19">
        <v>2.0</v>
      </c>
      <c r="K173" s="19">
        <v>3.1</v>
      </c>
      <c r="L173" s="19">
        <v>41.0</v>
      </c>
      <c r="M173" s="19">
        <v>46.0</v>
      </c>
      <c r="N173" s="19">
        <v>6.5</v>
      </c>
      <c r="O173" s="19" t="s">
        <v>143</v>
      </c>
      <c r="P173" s="19" t="s">
        <v>189</v>
      </c>
      <c r="Q173" s="20">
        <f t="shared" si="4"/>
        <v>0.5384615385</v>
      </c>
      <c r="R173" s="20">
        <f t="shared" si="5"/>
        <v>0.8529411765</v>
      </c>
      <c r="S173" s="20">
        <f t="shared" si="6"/>
        <v>0.05882352941</v>
      </c>
      <c r="T173" s="20">
        <f t="shared" si="7"/>
        <v>0.8913043478</v>
      </c>
      <c r="U173" s="20">
        <f>IF(B173="","",MIN(Q173/Targets!$B$2,1)*Targets!$D$2+MIN(G173/100/Targets!$B$3,1)*Targets!$D$3+MIN(T173/Targets!$B$4,1)*Targets!$D$4+MIN(R173/Targets!$B$5,1)*Targets!$D$5+MIN(N173/Targets!$B$6,1)*Targets!$D$6+MIN(Targets!$B$7/MAX(S173,0.0001),1)*Targets!$D$7)</f>
        <v>0.5825357815</v>
      </c>
    </row>
    <row r="174">
      <c r="A174" s="18">
        <v>46226.0</v>
      </c>
      <c r="B174" s="19" t="s">
        <v>109</v>
      </c>
      <c r="C174" s="19" t="s">
        <v>14</v>
      </c>
      <c r="D174" s="19" t="s">
        <v>121</v>
      </c>
      <c r="E174" s="14">
        <f t="shared" si="1"/>
        <v>7</v>
      </c>
      <c r="F174" s="19">
        <f t="shared" si="2"/>
        <v>7</v>
      </c>
      <c r="G174" s="20">
        <f t="shared" si="3"/>
        <v>1</v>
      </c>
      <c r="H174" s="19">
        <v>28.0</v>
      </c>
      <c r="I174" s="19">
        <v>33.0</v>
      </c>
      <c r="J174" s="19">
        <v>3.0</v>
      </c>
      <c r="K174" s="19">
        <v>5.2</v>
      </c>
      <c r="L174" s="19">
        <v>35.0</v>
      </c>
      <c r="M174" s="19">
        <v>45.0</v>
      </c>
      <c r="N174" s="19">
        <v>6.0</v>
      </c>
      <c r="O174" s="19" t="s">
        <v>143</v>
      </c>
      <c r="P174" s="19" t="s">
        <v>186</v>
      </c>
      <c r="Q174" s="20">
        <f t="shared" si="4"/>
        <v>1</v>
      </c>
      <c r="R174" s="20">
        <f t="shared" si="5"/>
        <v>0.8484848485</v>
      </c>
      <c r="S174" s="20">
        <f t="shared" si="6"/>
        <v>0.09090909091</v>
      </c>
      <c r="T174" s="20">
        <f t="shared" si="7"/>
        <v>0.7777777778</v>
      </c>
      <c r="U174" s="20">
        <f>IF(B174="","",MIN(Q174/Targets!$B$2,1)*Targets!$D$2+MIN(G174/100/Targets!$B$3,1)*Targets!$D$3+MIN(T174/Targets!$B$4,1)*Targets!$D$4+MIN(R174/Targets!$B$5,1)*Targets!$D$5+MIN(N174/Targets!$B$6,1)*Targets!$D$6+MIN(Targets!$B$7/MAX(S174,0.0001),1)*Targets!$D$7)</f>
        <v>0.6076485405</v>
      </c>
    </row>
    <row r="175">
      <c r="A175" s="18">
        <v>46226.0</v>
      </c>
      <c r="B175" s="19" t="s">
        <v>115</v>
      </c>
      <c r="C175" s="19" t="s">
        <v>167</v>
      </c>
      <c r="D175" s="19" t="s">
        <v>121</v>
      </c>
      <c r="E175" s="14">
        <f t="shared" si="1"/>
        <v>10</v>
      </c>
      <c r="F175" s="19">
        <f t="shared" si="2"/>
        <v>15</v>
      </c>
      <c r="G175" s="20">
        <f t="shared" si="3"/>
        <v>1.5</v>
      </c>
      <c r="H175" s="19">
        <v>33.0</v>
      </c>
      <c r="I175" s="19">
        <v>35.0</v>
      </c>
      <c r="J175" s="19">
        <v>2.0</v>
      </c>
      <c r="K175" s="19">
        <v>3.1</v>
      </c>
      <c r="L175" s="19">
        <v>47.0</v>
      </c>
      <c r="M175" s="19">
        <v>50.0</v>
      </c>
      <c r="N175" s="19">
        <v>7.1</v>
      </c>
      <c r="O175" s="19" t="s">
        <v>143</v>
      </c>
      <c r="P175" s="19" t="s">
        <v>189</v>
      </c>
      <c r="Q175" s="20">
        <f t="shared" si="4"/>
        <v>1.5</v>
      </c>
      <c r="R175" s="20">
        <f t="shared" si="5"/>
        <v>0.9428571429</v>
      </c>
      <c r="S175" s="20">
        <f t="shared" si="6"/>
        <v>0.05714285714</v>
      </c>
      <c r="T175" s="20">
        <f t="shared" si="7"/>
        <v>0.94</v>
      </c>
      <c r="U175" s="20">
        <f>IF(B175="","",MIN(Q175/Targets!$B$2,1)*Targets!$D$2+MIN(G175/100/Targets!$B$3,1)*Targets!$D$3+MIN(T175/Targets!$B$4,1)*Targets!$D$4+MIN(R175/Targets!$B$5,1)*Targets!$D$5+MIN(N175/Targets!$B$6,1)*Targets!$D$6+MIN(Targets!$B$7/MAX(S175,0.0001),1)*Targets!$D$7)</f>
        <v>0.6913721805</v>
      </c>
    </row>
    <row r="176">
      <c r="A176" s="18">
        <v>46226.0</v>
      </c>
      <c r="B176" s="19" t="s">
        <v>118</v>
      </c>
      <c r="C176" s="19" t="s">
        <v>169</v>
      </c>
      <c r="D176" s="19" t="s">
        <v>121</v>
      </c>
      <c r="E176" s="14">
        <f t="shared" si="1"/>
        <v>6</v>
      </c>
      <c r="F176" s="19">
        <f t="shared" si="2"/>
        <v>8</v>
      </c>
      <c r="G176" s="20">
        <f t="shared" si="3"/>
        <v>1.333333333</v>
      </c>
      <c r="H176" s="19">
        <v>29.0</v>
      </c>
      <c r="I176" s="19">
        <v>31.0</v>
      </c>
      <c r="J176" s="19">
        <v>2.0</v>
      </c>
      <c r="K176" s="19">
        <v>2.5</v>
      </c>
      <c r="L176" s="19">
        <v>34.0</v>
      </c>
      <c r="M176" s="19">
        <v>39.0</v>
      </c>
      <c r="N176" s="19">
        <v>7.1</v>
      </c>
      <c r="O176" s="19" t="s">
        <v>143</v>
      </c>
      <c r="P176" s="19" t="s">
        <v>168</v>
      </c>
      <c r="Q176" s="20">
        <f t="shared" si="4"/>
        <v>1.333333333</v>
      </c>
      <c r="R176" s="20">
        <f t="shared" si="5"/>
        <v>0.935483871</v>
      </c>
      <c r="S176" s="20">
        <f t="shared" si="6"/>
        <v>0.06451612903</v>
      </c>
      <c r="T176" s="20">
        <f t="shared" si="7"/>
        <v>0.8717948718</v>
      </c>
      <c r="U176" s="20">
        <f>IF(B176="","",MIN(Q176/Targets!$B$2,1)*Targets!$D$2+MIN(G176/100/Targets!$B$3,1)*Targets!$D$3+MIN(T176/Targets!$B$4,1)*Targets!$D$4+MIN(R176/Targets!$B$5,1)*Targets!$D$5+MIN(N176/Targets!$B$6,1)*Targets!$D$6+MIN(Targets!$B$7/MAX(S176,0.0001),1)*Targets!$D$7)</f>
        <v>0.6749515694</v>
      </c>
    </row>
    <row r="177">
      <c r="A177" s="18">
        <v>46226.0</v>
      </c>
      <c r="B177" s="19" t="s">
        <v>123</v>
      </c>
      <c r="C177" s="19" t="s">
        <v>171</v>
      </c>
      <c r="D177" s="19" t="s">
        <v>121</v>
      </c>
      <c r="E177" s="14">
        <f t="shared" si="1"/>
        <v>7</v>
      </c>
      <c r="F177" s="19">
        <f t="shared" si="2"/>
        <v>12</v>
      </c>
      <c r="G177" s="20">
        <f t="shared" si="3"/>
        <v>1.714285714</v>
      </c>
      <c r="H177" s="19">
        <v>27.0</v>
      </c>
      <c r="I177" s="19">
        <v>29.0</v>
      </c>
      <c r="J177" s="19">
        <v>2.0</v>
      </c>
      <c r="K177" s="19">
        <v>3.3</v>
      </c>
      <c r="L177" s="19">
        <v>36.0</v>
      </c>
      <c r="M177" s="19">
        <v>40.0</v>
      </c>
      <c r="N177" s="19">
        <v>6.6</v>
      </c>
      <c r="O177" s="19" t="s">
        <v>143</v>
      </c>
      <c r="P177" s="19" t="s">
        <v>178</v>
      </c>
      <c r="Q177" s="20">
        <f t="shared" si="4"/>
        <v>1.714285714</v>
      </c>
      <c r="R177" s="20">
        <f t="shared" si="5"/>
        <v>0.9310344828</v>
      </c>
      <c r="S177" s="20">
        <f t="shared" si="6"/>
        <v>0.06896551724</v>
      </c>
      <c r="T177" s="20">
        <f t="shared" si="7"/>
        <v>0.9</v>
      </c>
      <c r="U177" s="20">
        <f>IF(B177="","",MIN(Q177/Targets!$B$2,1)*Targets!$D$2+MIN(G177/100/Targets!$B$3,1)*Targets!$D$3+MIN(T177/Targets!$B$4,1)*Targets!$D$4+MIN(R177/Targets!$B$5,1)*Targets!$D$5+MIN(N177/Targets!$B$6,1)*Targets!$D$6+MIN(Targets!$B$7/MAX(S177,0.0001),1)*Targets!$D$7)</f>
        <v>0.6695054446</v>
      </c>
    </row>
    <row r="178">
      <c r="A178" s="18">
        <v>46226.0</v>
      </c>
      <c r="B178" s="19" t="s">
        <v>126</v>
      </c>
      <c r="C178" s="19" t="s">
        <v>179</v>
      </c>
      <c r="D178" s="19" t="s">
        <v>121</v>
      </c>
      <c r="E178" s="14">
        <f t="shared" si="1"/>
        <v>9</v>
      </c>
      <c r="F178" s="19">
        <f t="shared" si="2"/>
        <v>11</v>
      </c>
      <c r="G178" s="20">
        <f t="shared" si="3"/>
        <v>1.222222222</v>
      </c>
      <c r="H178" s="19">
        <v>20.0</v>
      </c>
      <c r="I178" s="19">
        <v>23.0</v>
      </c>
      <c r="J178" s="19">
        <v>1.0</v>
      </c>
      <c r="K178" s="19">
        <v>6.5</v>
      </c>
      <c r="L178" s="19">
        <v>32.0</v>
      </c>
      <c r="M178" s="19">
        <v>47.0</v>
      </c>
      <c r="N178" s="19">
        <v>6.8</v>
      </c>
      <c r="O178" s="19" t="s">
        <v>143</v>
      </c>
      <c r="P178" s="19" t="s">
        <v>168</v>
      </c>
      <c r="Q178" s="20">
        <f t="shared" si="4"/>
        <v>1.222222222</v>
      </c>
      <c r="R178" s="20">
        <f t="shared" si="5"/>
        <v>0.8695652174</v>
      </c>
      <c r="S178" s="20">
        <f t="shared" si="6"/>
        <v>0.04347826087</v>
      </c>
      <c r="T178" s="20">
        <f t="shared" si="7"/>
        <v>0.6808510638</v>
      </c>
      <c r="U178" s="20">
        <f>IF(B178="","",MIN(Q178/Targets!$B$2,1)*Targets!$D$2+MIN(G178/100/Targets!$B$3,1)*Targets!$D$3+MIN(T178/Targets!$B$4,1)*Targets!$D$4+MIN(R178/Targets!$B$5,1)*Targets!$D$5+MIN(N178/Targets!$B$6,1)*Targets!$D$6+MIN(Targets!$B$7/MAX(S178,0.0001),1)*Targets!$D$7)</f>
        <v>0.6519918797</v>
      </c>
    </row>
    <row r="179">
      <c r="A179" s="18">
        <v>46226.0</v>
      </c>
      <c r="B179" s="19" t="s">
        <v>129</v>
      </c>
      <c r="C179" s="19" t="s">
        <v>188</v>
      </c>
      <c r="D179" s="19" t="s">
        <v>121</v>
      </c>
      <c r="E179" s="14">
        <f t="shared" si="1"/>
        <v>12</v>
      </c>
      <c r="F179" s="19">
        <f t="shared" si="2"/>
        <v>15</v>
      </c>
      <c r="G179" s="20">
        <f t="shared" si="3"/>
        <v>1.25</v>
      </c>
      <c r="H179" s="19">
        <v>60.0</v>
      </c>
      <c r="I179" s="19">
        <v>64.0</v>
      </c>
      <c r="J179" s="19">
        <v>1.0</v>
      </c>
      <c r="K179" s="19">
        <v>1.5</v>
      </c>
      <c r="L179" s="19">
        <v>66.0</v>
      </c>
      <c r="M179" s="19">
        <v>70.0</v>
      </c>
      <c r="N179" s="19">
        <v>7.9</v>
      </c>
      <c r="O179" s="19" t="s">
        <v>143</v>
      </c>
      <c r="P179" s="19" t="s">
        <v>186</v>
      </c>
      <c r="Q179" s="20">
        <f t="shared" si="4"/>
        <v>1.25</v>
      </c>
      <c r="R179" s="20">
        <f t="shared" si="5"/>
        <v>0.9375</v>
      </c>
      <c r="S179" s="20">
        <f t="shared" si="6"/>
        <v>0.015625</v>
      </c>
      <c r="T179" s="20">
        <f t="shared" si="7"/>
        <v>0.9428571429</v>
      </c>
      <c r="U179" s="20">
        <f>IF(B179="","",MIN(Q179/Targets!$B$2,1)*Targets!$D$2+MIN(G179/100/Targets!$B$3,1)*Targets!$D$3+MIN(T179/Targets!$B$4,1)*Targets!$D$4+MIN(R179/Targets!$B$5,1)*Targets!$D$5+MIN(N179/Targets!$B$6,1)*Targets!$D$6+MIN(Targets!$B$7/MAX(S179,0.0001),1)*Targets!$D$7)</f>
        <v>0.7021929825</v>
      </c>
    </row>
    <row r="180">
      <c r="A180" s="18">
        <v>46226.0</v>
      </c>
      <c r="B180" s="19" t="s">
        <v>132</v>
      </c>
      <c r="C180" s="19" t="s">
        <v>190</v>
      </c>
      <c r="D180" s="19" t="s">
        <v>121</v>
      </c>
      <c r="E180" s="14">
        <f t="shared" si="1"/>
        <v>11</v>
      </c>
      <c r="F180" s="19">
        <f t="shared" si="2"/>
        <v>9</v>
      </c>
      <c r="G180" s="20">
        <f t="shared" si="3"/>
        <v>0.8181818182</v>
      </c>
      <c r="H180" s="19">
        <v>38.0</v>
      </c>
      <c r="I180" s="19">
        <v>40.0</v>
      </c>
      <c r="J180" s="19">
        <v>2.0</v>
      </c>
      <c r="K180" s="19">
        <v>2.9</v>
      </c>
      <c r="L180" s="19">
        <v>47.0</v>
      </c>
      <c r="M180" s="19">
        <v>51.0</v>
      </c>
      <c r="N180" s="19">
        <v>7.7</v>
      </c>
      <c r="O180" s="19" t="s">
        <v>143</v>
      </c>
      <c r="P180" s="19" t="s">
        <v>186</v>
      </c>
      <c r="Q180" s="20">
        <f t="shared" si="4"/>
        <v>0.8181818182</v>
      </c>
      <c r="R180" s="20">
        <f t="shared" si="5"/>
        <v>0.95</v>
      </c>
      <c r="S180" s="20">
        <f t="shared" si="6"/>
        <v>0.05</v>
      </c>
      <c r="T180" s="20">
        <f t="shared" si="7"/>
        <v>0.9215686275</v>
      </c>
      <c r="U180" s="20">
        <f>IF(B180="","",MIN(Q180/Targets!$B$2,1)*Targets!$D$2+MIN(G180/100/Targets!$B$3,1)*Targets!$D$3+MIN(T180/Targets!$B$4,1)*Targets!$D$4+MIN(R180/Targets!$B$5,1)*Targets!$D$5+MIN(N180/Targets!$B$6,1)*Targets!$D$6+MIN(Targets!$B$7/MAX(S180,0.0001),1)*Targets!$D$7)</f>
        <v>0.6845454545</v>
      </c>
    </row>
    <row r="181">
      <c r="A181" s="18">
        <v>46226.0</v>
      </c>
      <c r="B181" s="19" t="s">
        <v>135</v>
      </c>
      <c r="C181" s="19" t="s">
        <v>169</v>
      </c>
      <c r="D181" s="19" t="s">
        <v>121</v>
      </c>
      <c r="E181" s="14">
        <f t="shared" si="1"/>
        <v>13</v>
      </c>
      <c r="F181" s="19">
        <f t="shared" si="2"/>
        <v>6</v>
      </c>
      <c r="G181" s="20">
        <f t="shared" si="3"/>
        <v>0.4615384615</v>
      </c>
      <c r="H181" s="19">
        <v>24.0</v>
      </c>
      <c r="I181" s="19">
        <v>29.0</v>
      </c>
      <c r="J181" s="19">
        <v>1.0</v>
      </c>
      <c r="K181" s="19">
        <v>5.0</v>
      </c>
      <c r="L181" s="19">
        <v>31.0</v>
      </c>
      <c r="M181" s="19">
        <v>43.0</v>
      </c>
      <c r="N181" s="19">
        <v>5.4</v>
      </c>
      <c r="O181" s="19" t="s">
        <v>143</v>
      </c>
      <c r="P181" s="19" t="s">
        <v>189</v>
      </c>
      <c r="Q181" s="20">
        <f t="shared" si="4"/>
        <v>0.4615384615</v>
      </c>
      <c r="R181" s="20">
        <f t="shared" si="5"/>
        <v>0.8275862069</v>
      </c>
      <c r="S181" s="20">
        <f t="shared" si="6"/>
        <v>0.03448275862</v>
      </c>
      <c r="T181" s="20">
        <f t="shared" si="7"/>
        <v>0.7209302326</v>
      </c>
      <c r="U181" s="20">
        <f>IF(B181="","",MIN(Q181/Targets!$B$2,1)*Targets!$D$2+MIN(G181/100/Targets!$B$3,1)*Targets!$D$3+MIN(T181/Targets!$B$4,1)*Targets!$D$4+MIN(R181/Targets!$B$5,1)*Targets!$D$5+MIN(N181/Targets!$B$6,1)*Targets!$D$6+MIN(Targets!$B$7/MAX(S181,0.0001),1)*Targets!$D$7)</f>
        <v>0.5320719664</v>
      </c>
    </row>
    <row r="182">
      <c r="A182" s="18">
        <v>46227.0</v>
      </c>
      <c r="B182" s="19" t="s">
        <v>10</v>
      </c>
      <c r="C182" s="19" t="s">
        <v>14</v>
      </c>
      <c r="D182" s="19" t="s">
        <v>121</v>
      </c>
      <c r="E182" s="14">
        <f t="shared" si="1"/>
        <v>9</v>
      </c>
      <c r="F182" s="19">
        <f t="shared" si="2"/>
        <v>12</v>
      </c>
      <c r="G182" s="20">
        <f t="shared" si="3"/>
        <v>1.333333333</v>
      </c>
      <c r="H182" s="19">
        <v>53.0</v>
      </c>
      <c r="I182" s="19">
        <v>56.0</v>
      </c>
      <c r="J182" s="19">
        <v>4.0</v>
      </c>
      <c r="K182" s="19">
        <v>2.4</v>
      </c>
      <c r="L182" s="19">
        <v>51.0</v>
      </c>
      <c r="M182" s="19">
        <v>60.0</v>
      </c>
      <c r="N182" s="19">
        <v>8.3</v>
      </c>
      <c r="O182" s="19" t="s">
        <v>143</v>
      </c>
      <c r="P182" s="19" t="s">
        <v>168</v>
      </c>
      <c r="Q182" s="20">
        <f t="shared" si="4"/>
        <v>1.333333333</v>
      </c>
      <c r="R182" s="20">
        <f t="shared" si="5"/>
        <v>0.9464285714</v>
      </c>
      <c r="S182" s="20">
        <f t="shared" si="6"/>
        <v>0.07142857143</v>
      </c>
      <c r="T182" s="20">
        <f t="shared" si="7"/>
        <v>0.85</v>
      </c>
      <c r="U182" s="20">
        <f>IF(B182="","",MIN(Q182/Targets!$B$2,1)*Targets!$D$2+MIN(G182/100/Targets!$B$3,1)*Targets!$D$3+MIN(T182/Targets!$B$4,1)*Targets!$D$4+MIN(R182/Targets!$B$5,1)*Targets!$D$5+MIN(N182/Targets!$B$6,1)*Targets!$D$6+MIN(Targets!$B$7/MAX(S182,0.0001),1)*Targets!$D$7)</f>
        <v>0.6655472013</v>
      </c>
    </row>
    <row r="183">
      <c r="A183" s="18">
        <v>46227.0</v>
      </c>
      <c r="B183" s="19" t="s">
        <v>25</v>
      </c>
      <c r="C183" s="19" t="s">
        <v>167</v>
      </c>
      <c r="D183" s="19" t="s">
        <v>121</v>
      </c>
      <c r="E183" s="14">
        <f t="shared" si="1"/>
        <v>10</v>
      </c>
      <c r="F183" s="19">
        <f t="shared" si="2"/>
        <v>9</v>
      </c>
      <c r="G183" s="20">
        <f t="shared" si="3"/>
        <v>0.9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 t="s">
        <v>205</v>
      </c>
      <c r="P183" s="19" t="s">
        <v>205</v>
      </c>
      <c r="Q183" s="20">
        <f t="shared" si="4"/>
        <v>0.9</v>
      </c>
      <c r="R183" s="20">
        <f t="shared" si="5"/>
        <v>0</v>
      </c>
      <c r="S183" s="20">
        <f t="shared" si="6"/>
        <v>0</v>
      </c>
      <c r="T183" s="20">
        <f t="shared" si="7"/>
        <v>0</v>
      </c>
      <c r="U183" s="20">
        <f>IF(B183="","",MIN(Q183/Targets!$B$2,1)*Targets!$D$2+MIN(G183/100/Targets!$B$3,1)*Targets!$D$3+MIN(T183/Targets!$B$4,1)*Targets!$D$4+MIN(R183/Targets!$B$5,1)*Targets!$D$5+MIN(N183/Targets!$B$6,1)*Targets!$D$6+MIN(Targets!$B$7/MAX(S183,0.0001),1)*Targets!$D$7)</f>
        <v>0.303</v>
      </c>
    </row>
    <row r="184">
      <c r="A184" s="18">
        <v>46227.0</v>
      </c>
      <c r="B184" s="19" t="s">
        <v>37</v>
      </c>
      <c r="C184" s="19" t="s">
        <v>169</v>
      </c>
      <c r="D184" s="19" t="s">
        <v>121</v>
      </c>
      <c r="E184" s="14">
        <f t="shared" si="1"/>
        <v>11</v>
      </c>
      <c r="F184" s="19">
        <f t="shared" si="2"/>
        <v>15</v>
      </c>
      <c r="G184" s="20">
        <f t="shared" si="3"/>
        <v>1.363636364</v>
      </c>
      <c r="H184" s="19">
        <v>25.0</v>
      </c>
      <c r="I184" s="19">
        <v>31.0</v>
      </c>
      <c r="J184" s="19">
        <v>2.0</v>
      </c>
      <c r="K184" s="19">
        <v>5.6</v>
      </c>
      <c r="L184" s="19">
        <v>43.0</v>
      </c>
      <c r="M184" s="19">
        <v>56.0</v>
      </c>
      <c r="N184" s="19">
        <v>5.9</v>
      </c>
      <c r="O184" s="19" t="s">
        <v>143</v>
      </c>
      <c r="P184" s="19" t="s">
        <v>168</v>
      </c>
      <c r="Q184" s="20">
        <f t="shared" si="4"/>
        <v>1.363636364</v>
      </c>
      <c r="R184" s="20">
        <f t="shared" si="5"/>
        <v>0.8064516129</v>
      </c>
      <c r="S184" s="20">
        <f t="shared" si="6"/>
        <v>0.06451612903</v>
      </c>
      <c r="T184" s="20">
        <f t="shared" si="7"/>
        <v>0.7678571429</v>
      </c>
      <c r="U184" s="20">
        <f>IF(B184="","",MIN(Q184/Targets!$B$2,1)*Targets!$D$2+MIN(G184/100/Targets!$B$3,1)*Targets!$D$3+MIN(T184/Targets!$B$4,1)*Targets!$D$4+MIN(R184/Targets!$B$5,1)*Targets!$D$5+MIN(N184/Targets!$B$6,1)*Targets!$D$6+MIN(Targets!$B$7/MAX(S184,0.0001),1)*Targets!$D$7)</f>
        <v>0.6216418245</v>
      </c>
    </row>
    <row r="185">
      <c r="A185" s="18">
        <v>46227.0</v>
      </c>
      <c r="B185" s="19" t="s">
        <v>42</v>
      </c>
      <c r="C185" s="19" t="s">
        <v>171</v>
      </c>
      <c r="D185" s="19" t="s">
        <v>121</v>
      </c>
      <c r="E185" s="14">
        <f t="shared" si="1"/>
        <v>14</v>
      </c>
      <c r="F185" s="19">
        <f t="shared" si="2"/>
        <v>12</v>
      </c>
      <c r="G185" s="20">
        <f t="shared" si="3"/>
        <v>0.8571428571</v>
      </c>
      <c r="H185" s="19">
        <v>17.0</v>
      </c>
      <c r="I185" s="19">
        <v>20.0</v>
      </c>
      <c r="J185" s="19">
        <v>0.0</v>
      </c>
      <c r="K185" s="19">
        <v>4.6</v>
      </c>
      <c r="L185" s="19">
        <v>27.0</v>
      </c>
      <c r="M185" s="19">
        <v>39.0</v>
      </c>
      <c r="N185" s="19">
        <v>7.1</v>
      </c>
      <c r="O185" s="19" t="s">
        <v>143</v>
      </c>
      <c r="P185" s="19" t="s">
        <v>178</v>
      </c>
      <c r="Q185" s="20">
        <f t="shared" si="4"/>
        <v>0.8571428571</v>
      </c>
      <c r="R185" s="20">
        <f t="shared" si="5"/>
        <v>0.85</v>
      </c>
      <c r="S185" s="20">
        <f t="shared" si="6"/>
        <v>0</v>
      </c>
      <c r="T185" s="20">
        <f t="shared" si="7"/>
        <v>0.6923076923</v>
      </c>
      <c r="U185" s="20">
        <f>IF(B185="","",MIN(Q185/Targets!$B$2,1)*Targets!$D$2+MIN(G185/100/Targets!$B$3,1)*Targets!$D$3+MIN(T185/Targets!$B$4,1)*Targets!$D$4+MIN(R185/Targets!$B$5,1)*Targets!$D$5+MIN(N185/Targets!$B$6,1)*Targets!$D$6+MIN(Targets!$B$7/MAX(S185,0.0001),1)*Targets!$D$7)</f>
        <v>0.642928475</v>
      </c>
    </row>
    <row r="186">
      <c r="A186" s="18">
        <v>46227.0</v>
      </c>
      <c r="B186" s="19" t="s">
        <v>46</v>
      </c>
      <c r="C186" s="19" t="s">
        <v>179</v>
      </c>
      <c r="D186" s="19" t="s">
        <v>121</v>
      </c>
      <c r="E186" s="14">
        <f t="shared" si="1"/>
        <v>6</v>
      </c>
      <c r="F186" s="19">
        <f t="shared" si="2"/>
        <v>6</v>
      </c>
      <c r="G186" s="20">
        <f t="shared" si="3"/>
        <v>1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9">
        <v>0.0</v>
      </c>
      <c r="O186" s="19" t="s">
        <v>205</v>
      </c>
      <c r="P186" s="19" t="s">
        <v>205</v>
      </c>
      <c r="Q186" s="20">
        <f t="shared" si="4"/>
        <v>1</v>
      </c>
      <c r="R186" s="20">
        <f t="shared" si="5"/>
        <v>0</v>
      </c>
      <c r="S186" s="20">
        <f t="shared" si="6"/>
        <v>0</v>
      </c>
      <c r="T186" s="20">
        <f t="shared" si="7"/>
        <v>0</v>
      </c>
      <c r="U186" s="20">
        <f>IF(B186="","",MIN(Q186/Targets!$B$2,1)*Targets!$D$2+MIN(G186/100/Targets!$B$3,1)*Targets!$D$3+MIN(T186/Targets!$B$4,1)*Targets!$D$4+MIN(R186/Targets!$B$5,1)*Targets!$D$5+MIN(N186/Targets!$B$6,1)*Targets!$D$6+MIN(Targets!$B$7/MAX(S186,0.0001),1)*Targets!$D$7)</f>
        <v>0.3033333333</v>
      </c>
    </row>
    <row r="187">
      <c r="A187" s="18">
        <v>46227.0</v>
      </c>
      <c r="B187" s="19" t="s">
        <v>53</v>
      </c>
      <c r="C187" s="19" t="s">
        <v>14</v>
      </c>
      <c r="D187" s="19" t="s">
        <v>121</v>
      </c>
      <c r="E187" s="14">
        <f t="shared" si="1"/>
        <v>16</v>
      </c>
      <c r="F187" s="19">
        <f t="shared" si="2"/>
        <v>13</v>
      </c>
      <c r="G187" s="20">
        <f t="shared" si="3"/>
        <v>0.8125</v>
      </c>
      <c r="H187" s="19">
        <v>44.0</v>
      </c>
      <c r="I187" s="19">
        <v>48.0</v>
      </c>
      <c r="J187" s="19">
        <v>4.0</v>
      </c>
      <c r="K187" s="19">
        <v>3.2</v>
      </c>
      <c r="L187" s="19">
        <v>51.0</v>
      </c>
      <c r="M187" s="19">
        <v>56.0</v>
      </c>
      <c r="N187" s="19">
        <v>6.7</v>
      </c>
      <c r="O187" s="19" t="s">
        <v>143</v>
      </c>
      <c r="P187" s="19" t="s">
        <v>187</v>
      </c>
      <c r="Q187" s="20">
        <f t="shared" si="4"/>
        <v>0.8125</v>
      </c>
      <c r="R187" s="20">
        <f t="shared" si="5"/>
        <v>0.9166666667</v>
      </c>
      <c r="S187" s="20">
        <f t="shared" si="6"/>
        <v>0.08333333333</v>
      </c>
      <c r="T187" s="20">
        <f t="shared" si="7"/>
        <v>0.9107142857</v>
      </c>
      <c r="U187" s="20">
        <f>IF(B187="","",MIN(Q187/Targets!$B$2,1)*Targets!$D$2+MIN(G187/100/Targets!$B$3,1)*Targets!$D$3+MIN(T187/Targets!$B$4,1)*Targets!$D$4+MIN(R187/Targets!$B$5,1)*Targets!$D$5+MIN(N187/Targets!$B$6,1)*Targets!$D$6+MIN(Targets!$B$7/MAX(S187,0.0001),1)*Targets!$D$7)</f>
        <v>0.6337150167</v>
      </c>
    </row>
    <row r="188">
      <c r="A188" s="18">
        <v>46227.0</v>
      </c>
      <c r="B188" s="19" t="s">
        <v>65</v>
      </c>
      <c r="C188" s="19" t="s">
        <v>167</v>
      </c>
      <c r="D188" s="19" t="s">
        <v>121</v>
      </c>
      <c r="E188" s="14">
        <f t="shared" si="1"/>
        <v>11</v>
      </c>
      <c r="F188" s="19">
        <f t="shared" si="2"/>
        <v>9</v>
      </c>
      <c r="G188" s="20">
        <f t="shared" si="3"/>
        <v>0.8181818182</v>
      </c>
      <c r="H188" s="19">
        <v>33.0</v>
      </c>
      <c r="I188" s="19">
        <v>36.0</v>
      </c>
      <c r="J188" s="19">
        <v>2.0</v>
      </c>
      <c r="K188" s="19">
        <v>4.2</v>
      </c>
      <c r="L188" s="19">
        <v>39.0</v>
      </c>
      <c r="M188" s="19">
        <v>41.0</v>
      </c>
      <c r="N188" s="19">
        <v>6.4</v>
      </c>
      <c r="O188" s="19" t="s">
        <v>143</v>
      </c>
      <c r="P188" s="19" t="s">
        <v>189</v>
      </c>
      <c r="Q188" s="20">
        <f t="shared" si="4"/>
        <v>0.8181818182</v>
      </c>
      <c r="R188" s="20">
        <f t="shared" si="5"/>
        <v>0.9166666667</v>
      </c>
      <c r="S188" s="20">
        <f t="shared" si="6"/>
        <v>0.05555555556</v>
      </c>
      <c r="T188" s="20">
        <f t="shared" si="7"/>
        <v>0.9512195122</v>
      </c>
      <c r="U188" s="20">
        <f>IF(B188="","",MIN(Q188/Targets!$B$2,1)*Targets!$D$2+MIN(G188/100/Targets!$B$3,1)*Targets!$D$3+MIN(T188/Targets!$B$4,1)*Targets!$D$4+MIN(R188/Targets!$B$5,1)*Targets!$D$5+MIN(N188/Targets!$B$6,1)*Targets!$D$6+MIN(Targets!$B$7/MAX(S188,0.0001),1)*Targets!$D$7)</f>
        <v>0.6607108681</v>
      </c>
    </row>
    <row r="189">
      <c r="A189" s="18">
        <v>46227.0</v>
      </c>
      <c r="B189" s="19" t="s">
        <v>73</v>
      </c>
      <c r="C189" s="19" t="s">
        <v>169</v>
      </c>
      <c r="D189" s="19" t="s">
        <v>121</v>
      </c>
      <c r="E189" s="14">
        <f t="shared" si="1"/>
        <v>7</v>
      </c>
      <c r="F189" s="19">
        <f t="shared" si="2"/>
        <v>14</v>
      </c>
      <c r="G189" s="20">
        <f t="shared" si="3"/>
        <v>2</v>
      </c>
      <c r="H189" s="19">
        <v>44.0</v>
      </c>
      <c r="I189" s="19">
        <v>46.0</v>
      </c>
      <c r="J189" s="19">
        <v>3.0</v>
      </c>
      <c r="K189" s="19">
        <v>1.8</v>
      </c>
      <c r="L189" s="19">
        <v>45.0</v>
      </c>
      <c r="M189" s="19">
        <v>51.0</v>
      </c>
      <c r="N189" s="19">
        <v>8.4</v>
      </c>
      <c r="O189" s="19" t="s">
        <v>143</v>
      </c>
      <c r="P189" s="19" t="s">
        <v>144</v>
      </c>
      <c r="Q189" s="20">
        <f t="shared" si="4"/>
        <v>2</v>
      </c>
      <c r="R189" s="20">
        <f t="shared" si="5"/>
        <v>0.9565217391</v>
      </c>
      <c r="S189" s="20">
        <f t="shared" si="6"/>
        <v>0.0652173913</v>
      </c>
      <c r="T189" s="20">
        <f t="shared" si="7"/>
        <v>0.8823529412</v>
      </c>
      <c r="U189" s="20">
        <f>IF(B189="","",MIN(Q189/Targets!$B$2,1)*Targets!$D$2+MIN(G189/100/Targets!$B$3,1)*Targets!$D$3+MIN(T189/Targets!$B$4,1)*Targets!$D$4+MIN(R189/Targets!$B$5,1)*Targets!$D$5+MIN(N189/Targets!$B$6,1)*Targets!$D$6+MIN(Targets!$B$7/MAX(S189,0.0001),1)*Targets!$D$7)</f>
        <v>0.6803921569</v>
      </c>
    </row>
    <row r="190">
      <c r="A190" s="18">
        <v>46227.0</v>
      </c>
      <c r="B190" s="19" t="s">
        <v>78</v>
      </c>
      <c r="C190" s="19" t="s">
        <v>171</v>
      </c>
      <c r="D190" s="19" t="s">
        <v>121</v>
      </c>
      <c r="E190" s="14">
        <f t="shared" si="1"/>
        <v>6</v>
      </c>
      <c r="F190" s="19">
        <f t="shared" si="2"/>
        <v>8</v>
      </c>
      <c r="G190" s="20">
        <f t="shared" si="3"/>
        <v>1.333333333</v>
      </c>
      <c r="H190" s="19">
        <v>57.0</v>
      </c>
      <c r="I190" s="19">
        <v>61.0</v>
      </c>
      <c r="J190" s="19">
        <v>3.0</v>
      </c>
      <c r="K190" s="19">
        <v>1.8</v>
      </c>
      <c r="L190" s="19">
        <v>61.0</v>
      </c>
      <c r="M190" s="19">
        <v>63.0</v>
      </c>
      <c r="N190" s="19">
        <v>8.4</v>
      </c>
      <c r="O190" s="19" t="s">
        <v>143</v>
      </c>
      <c r="P190" s="19" t="s">
        <v>168</v>
      </c>
      <c r="Q190" s="20">
        <f t="shared" si="4"/>
        <v>1.333333333</v>
      </c>
      <c r="R190" s="20">
        <f t="shared" si="5"/>
        <v>0.9344262295</v>
      </c>
      <c r="S190" s="20">
        <f t="shared" si="6"/>
        <v>0.04918032787</v>
      </c>
      <c r="T190" s="20">
        <f t="shared" si="7"/>
        <v>0.9682539683</v>
      </c>
      <c r="U190" s="20">
        <f>IF(B190="","",MIN(Q190/Targets!$B$2,1)*Targets!$D$2+MIN(G190/100/Targets!$B$3,1)*Targets!$D$3+MIN(T190/Targets!$B$4,1)*Targets!$D$4+MIN(R190/Targets!$B$5,1)*Targets!$D$5+MIN(N190/Targets!$B$6,1)*Targets!$D$6+MIN(Targets!$B$7/MAX(S190,0.0001),1)*Targets!$D$7)</f>
        <v>0.7019854281</v>
      </c>
    </row>
    <row r="191">
      <c r="A191" s="18">
        <v>46227.0</v>
      </c>
      <c r="B191" s="19" t="s">
        <v>84</v>
      </c>
      <c r="C191" s="19" t="s">
        <v>179</v>
      </c>
      <c r="D191" s="19" t="s">
        <v>121</v>
      </c>
      <c r="E191" s="14">
        <f t="shared" si="1"/>
        <v>12</v>
      </c>
      <c r="F191" s="19">
        <f t="shared" si="2"/>
        <v>9</v>
      </c>
      <c r="G191" s="20">
        <f t="shared" si="3"/>
        <v>0.75</v>
      </c>
      <c r="H191" s="19">
        <v>45.0</v>
      </c>
      <c r="I191" s="19">
        <v>46.0</v>
      </c>
      <c r="J191" s="19">
        <v>1.0</v>
      </c>
      <c r="K191" s="19">
        <v>2.4</v>
      </c>
      <c r="L191" s="19">
        <v>54.0</v>
      </c>
      <c r="M191" s="19">
        <v>61.0</v>
      </c>
      <c r="N191" s="19">
        <v>7.6</v>
      </c>
      <c r="O191" s="19" t="s">
        <v>143</v>
      </c>
      <c r="P191" s="19" t="s">
        <v>178</v>
      </c>
      <c r="Q191" s="20">
        <f t="shared" si="4"/>
        <v>0.75</v>
      </c>
      <c r="R191" s="20">
        <f t="shared" si="5"/>
        <v>0.9782608696</v>
      </c>
      <c r="S191" s="20">
        <f t="shared" si="6"/>
        <v>0.02173913043</v>
      </c>
      <c r="T191" s="20">
        <f t="shared" si="7"/>
        <v>0.8852459016</v>
      </c>
      <c r="U191" s="20">
        <f>IF(B191="","",MIN(Q191/Targets!$B$2,1)*Targets!$D$2+MIN(G191/100/Targets!$B$3,1)*Targets!$D$3+MIN(T191/Targets!$B$4,1)*Targets!$D$4+MIN(R191/Targets!$B$5,1)*Targets!$D$5+MIN(N191/Targets!$B$6,1)*Targets!$D$6+MIN(Targets!$B$7/MAX(S191,0.0001),1)*Targets!$D$7)</f>
        <v>0.6667076503</v>
      </c>
    </row>
    <row r="192">
      <c r="A192" s="18">
        <v>46227.0</v>
      </c>
      <c r="B192" s="19" t="s">
        <v>91</v>
      </c>
      <c r="C192" s="19" t="s">
        <v>188</v>
      </c>
      <c r="D192" s="19" t="s">
        <v>121</v>
      </c>
      <c r="E192" s="14">
        <f t="shared" si="1"/>
        <v>12</v>
      </c>
      <c r="F192" s="19">
        <f t="shared" si="2"/>
        <v>13</v>
      </c>
      <c r="G192" s="20">
        <f t="shared" si="3"/>
        <v>1.083333333</v>
      </c>
      <c r="H192" s="19">
        <v>42.0</v>
      </c>
      <c r="I192" s="19">
        <v>43.0</v>
      </c>
      <c r="J192" s="19">
        <v>1.0</v>
      </c>
      <c r="K192" s="19">
        <v>1.5</v>
      </c>
      <c r="L192" s="19">
        <v>29.0</v>
      </c>
      <c r="M192" s="19">
        <v>29.0</v>
      </c>
      <c r="N192" s="19">
        <v>4.5</v>
      </c>
      <c r="O192" s="19" t="s">
        <v>200</v>
      </c>
      <c r="P192" s="19" t="s">
        <v>191</v>
      </c>
      <c r="Q192" s="20">
        <f t="shared" si="4"/>
        <v>1.083333333</v>
      </c>
      <c r="R192" s="20">
        <f t="shared" si="5"/>
        <v>0.976744186</v>
      </c>
      <c r="S192" s="20">
        <f t="shared" si="6"/>
        <v>0.02325581395</v>
      </c>
      <c r="T192" s="20">
        <f t="shared" si="7"/>
        <v>1</v>
      </c>
      <c r="U192" s="20">
        <f>IF(B192="","",MIN(Q192/Targets!$B$2,1)*Targets!$D$2+MIN(G192/100/Targets!$B$3,1)*Targets!$D$3+MIN(T192/Targets!$B$4,1)*Targets!$D$4+MIN(R192/Targets!$B$5,1)*Targets!$D$5+MIN(N192/Targets!$B$6,1)*Targets!$D$6+MIN(Targets!$B$7/MAX(S192,0.0001),1)*Targets!$D$7)</f>
        <v>0.6678968254</v>
      </c>
    </row>
    <row r="193">
      <c r="A193" s="18">
        <v>46227.0</v>
      </c>
      <c r="B193" s="19" t="s">
        <v>100</v>
      </c>
      <c r="C193" s="19" t="s">
        <v>190</v>
      </c>
      <c r="D193" s="19" t="s">
        <v>121</v>
      </c>
      <c r="E193" s="14">
        <f t="shared" si="1"/>
        <v>15</v>
      </c>
      <c r="F193" s="19">
        <f t="shared" si="2"/>
        <v>8</v>
      </c>
      <c r="G193" s="20">
        <f t="shared" si="3"/>
        <v>0.5333333333</v>
      </c>
      <c r="H193" s="19">
        <v>48.0</v>
      </c>
      <c r="I193" s="19">
        <v>50.0</v>
      </c>
      <c r="J193" s="19">
        <v>1.0</v>
      </c>
      <c r="K193" s="19">
        <v>2.3</v>
      </c>
      <c r="L193" s="19">
        <v>49.0</v>
      </c>
      <c r="M193" s="19">
        <v>51.0</v>
      </c>
      <c r="N193" s="19">
        <v>8.4</v>
      </c>
      <c r="O193" s="19" t="s">
        <v>143</v>
      </c>
      <c r="P193" s="19" t="s">
        <v>189</v>
      </c>
      <c r="Q193" s="20">
        <f t="shared" si="4"/>
        <v>0.5333333333</v>
      </c>
      <c r="R193" s="20">
        <f t="shared" si="5"/>
        <v>0.96</v>
      </c>
      <c r="S193" s="20">
        <f t="shared" si="6"/>
        <v>0.02</v>
      </c>
      <c r="T193" s="20">
        <f t="shared" si="7"/>
        <v>0.9607843137</v>
      </c>
      <c r="U193" s="20">
        <f>IF(B193="","",MIN(Q193/Targets!$B$2,1)*Targets!$D$2+MIN(G193/100/Targets!$B$3,1)*Targets!$D$3+MIN(T193/Targets!$B$4,1)*Targets!$D$4+MIN(R193/Targets!$B$5,1)*Targets!$D$5+MIN(N193/Targets!$B$6,1)*Targets!$D$6+MIN(Targets!$B$7/MAX(S193,0.0001),1)*Targets!$D$7)</f>
        <v>0.6202962963</v>
      </c>
    </row>
    <row r="194">
      <c r="A194" s="18">
        <v>46227.0</v>
      </c>
      <c r="B194" s="19" t="s">
        <v>109</v>
      </c>
      <c r="C194" s="19" t="s">
        <v>14</v>
      </c>
      <c r="D194" s="19" t="s">
        <v>121</v>
      </c>
      <c r="E194" s="14">
        <f t="shared" si="1"/>
        <v>7</v>
      </c>
      <c r="F194" s="19">
        <f t="shared" si="2"/>
        <v>13</v>
      </c>
      <c r="G194" s="20">
        <f t="shared" si="3"/>
        <v>1.857142857</v>
      </c>
      <c r="H194" s="19">
        <v>26.0</v>
      </c>
      <c r="I194" s="19">
        <v>30.0</v>
      </c>
      <c r="J194" s="19">
        <v>0.0</v>
      </c>
      <c r="K194" s="19">
        <v>4.1</v>
      </c>
      <c r="L194" s="19">
        <v>38.0</v>
      </c>
      <c r="M194" s="19">
        <v>43.0</v>
      </c>
      <c r="N194" s="19">
        <v>6.8</v>
      </c>
      <c r="O194" s="19" t="s">
        <v>143</v>
      </c>
      <c r="P194" s="19" t="s">
        <v>187</v>
      </c>
      <c r="Q194" s="20">
        <f t="shared" si="4"/>
        <v>1.857142857</v>
      </c>
      <c r="R194" s="20">
        <f t="shared" si="5"/>
        <v>0.8666666667</v>
      </c>
      <c r="S194" s="20">
        <f t="shared" si="6"/>
        <v>0</v>
      </c>
      <c r="T194" s="20">
        <f t="shared" si="7"/>
        <v>0.8837209302</v>
      </c>
      <c r="U194" s="20">
        <f>IF(B194="","",MIN(Q194/Targets!$B$2,1)*Targets!$D$2+MIN(G194/100/Targets!$B$3,1)*Targets!$D$3+MIN(T194/Targets!$B$4,1)*Targets!$D$4+MIN(R194/Targets!$B$5,1)*Targets!$D$5+MIN(N194/Targets!$B$6,1)*Targets!$D$6+MIN(Targets!$B$7/MAX(S194,0.0001),1)*Targets!$D$7)</f>
        <v>0.6874622603</v>
      </c>
    </row>
    <row r="195">
      <c r="A195" s="18">
        <v>46227.0</v>
      </c>
      <c r="B195" s="19" t="s">
        <v>115</v>
      </c>
      <c r="C195" s="19" t="s">
        <v>167</v>
      </c>
      <c r="D195" s="19" t="s">
        <v>121</v>
      </c>
      <c r="E195" s="14">
        <f t="shared" si="1"/>
        <v>9</v>
      </c>
      <c r="F195" s="19">
        <f t="shared" si="2"/>
        <v>9</v>
      </c>
      <c r="G195" s="20">
        <f t="shared" si="3"/>
        <v>1</v>
      </c>
      <c r="H195" s="19">
        <v>43.0</v>
      </c>
      <c r="I195" s="19">
        <v>46.0</v>
      </c>
      <c r="J195" s="19">
        <v>1.0</v>
      </c>
      <c r="K195" s="19">
        <v>2.9</v>
      </c>
      <c r="L195" s="19">
        <v>59.0</v>
      </c>
      <c r="M195" s="19">
        <v>62.0</v>
      </c>
      <c r="N195" s="19">
        <v>7.9</v>
      </c>
      <c r="O195" s="19" t="s">
        <v>143</v>
      </c>
      <c r="P195" s="19" t="s">
        <v>144</v>
      </c>
      <c r="Q195" s="20">
        <f t="shared" si="4"/>
        <v>1</v>
      </c>
      <c r="R195" s="20">
        <f t="shared" si="5"/>
        <v>0.9347826087</v>
      </c>
      <c r="S195" s="20">
        <f t="shared" si="6"/>
        <v>0.02173913043</v>
      </c>
      <c r="T195" s="20">
        <f t="shared" si="7"/>
        <v>0.9516129032</v>
      </c>
      <c r="U195" s="20">
        <f>IF(B195="","",MIN(Q195/Targets!$B$2,1)*Targets!$D$2+MIN(G195/100/Targets!$B$3,1)*Targets!$D$3+MIN(T195/Targets!$B$4,1)*Targets!$D$4+MIN(R195/Targets!$B$5,1)*Targets!$D$5+MIN(N195/Targets!$B$6,1)*Targets!$D$6+MIN(Targets!$B$7/MAX(S195,0.0001),1)*Targets!$D$7)</f>
        <v>0.7009305873</v>
      </c>
    </row>
    <row r="196">
      <c r="A196" s="18">
        <v>46227.0</v>
      </c>
      <c r="B196" s="19" t="s">
        <v>118</v>
      </c>
      <c r="C196" s="19" t="s">
        <v>169</v>
      </c>
      <c r="D196" s="19" t="s">
        <v>121</v>
      </c>
      <c r="E196" s="14">
        <f t="shared" si="1"/>
        <v>15</v>
      </c>
      <c r="F196" s="19">
        <f t="shared" si="2"/>
        <v>8</v>
      </c>
      <c r="G196" s="20">
        <f t="shared" si="3"/>
        <v>0.5333333333</v>
      </c>
      <c r="H196" s="19">
        <v>37.0</v>
      </c>
      <c r="I196" s="19">
        <v>37.0</v>
      </c>
      <c r="J196" s="19">
        <v>3.0</v>
      </c>
      <c r="K196" s="19">
        <v>1.6</v>
      </c>
      <c r="L196" s="19">
        <v>25.0</v>
      </c>
      <c r="M196" s="19">
        <v>27.0</v>
      </c>
      <c r="N196" s="19">
        <v>4.2</v>
      </c>
      <c r="O196" s="19" t="s">
        <v>200</v>
      </c>
      <c r="P196" s="19" t="s">
        <v>189</v>
      </c>
      <c r="Q196" s="20">
        <f t="shared" si="4"/>
        <v>0.5333333333</v>
      </c>
      <c r="R196" s="20">
        <f t="shared" si="5"/>
        <v>1</v>
      </c>
      <c r="S196" s="20">
        <f t="shared" si="6"/>
        <v>0.08108108108</v>
      </c>
      <c r="T196" s="20">
        <f t="shared" si="7"/>
        <v>0.9259259259</v>
      </c>
      <c r="U196" s="20">
        <f>IF(B196="","",MIN(Q196/Targets!$B$2,1)*Targets!$D$2+MIN(G196/100/Targets!$B$3,1)*Targets!$D$3+MIN(T196/Targets!$B$4,1)*Targets!$D$4+MIN(R196/Targets!$B$5,1)*Targets!$D$5+MIN(N196/Targets!$B$6,1)*Targets!$D$6+MIN(Targets!$B$7/MAX(S196,0.0001),1)*Targets!$D$7)</f>
        <v>0.541962963</v>
      </c>
    </row>
    <row r="197">
      <c r="A197" s="18">
        <v>46227.0</v>
      </c>
      <c r="B197" s="19" t="s">
        <v>123</v>
      </c>
      <c r="C197" s="19" t="s">
        <v>171</v>
      </c>
      <c r="D197" s="19" t="s">
        <v>121</v>
      </c>
      <c r="E197" s="14">
        <f t="shared" si="1"/>
        <v>14</v>
      </c>
      <c r="F197" s="19">
        <f t="shared" si="2"/>
        <v>13</v>
      </c>
      <c r="G197" s="20">
        <f t="shared" si="3"/>
        <v>0.9285714286</v>
      </c>
      <c r="H197" s="19">
        <v>39.0</v>
      </c>
      <c r="I197" s="19">
        <v>40.0</v>
      </c>
      <c r="J197" s="19">
        <v>2.0</v>
      </c>
      <c r="K197" s="19">
        <v>1.7</v>
      </c>
      <c r="L197" s="19">
        <v>45.0</v>
      </c>
      <c r="M197" s="19">
        <v>47.0</v>
      </c>
      <c r="N197" s="19">
        <v>8.5</v>
      </c>
      <c r="O197" s="19" t="s">
        <v>143</v>
      </c>
      <c r="P197" s="19" t="s">
        <v>189</v>
      </c>
      <c r="Q197" s="20">
        <f t="shared" si="4"/>
        <v>0.9285714286</v>
      </c>
      <c r="R197" s="20">
        <f t="shared" si="5"/>
        <v>0.975</v>
      </c>
      <c r="S197" s="20">
        <f t="shared" si="6"/>
        <v>0.05</v>
      </c>
      <c r="T197" s="20">
        <f t="shared" si="7"/>
        <v>0.9574468085</v>
      </c>
      <c r="U197" s="20">
        <f>IF(B197="","",MIN(Q197/Targets!$B$2,1)*Targets!$D$2+MIN(G197/100/Targets!$B$3,1)*Targets!$D$3+MIN(T197/Targets!$B$4,1)*Targets!$D$4+MIN(R197/Targets!$B$5,1)*Targets!$D$5+MIN(N197/Targets!$B$6,1)*Targets!$D$6+MIN(Targets!$B$7/MAX(S197,0.0001),1)*Targets!$D$7)</f>
        <v>0.7030952381</v>
      </c>
    </row>
    <row r="198">
      <c r="A198" s="18">
        <v>46227.0</v>
      </c>
      <c r="B198" s="19" t="s">
        <v>126</v>
      </c>
      <c r="C198" s="19" t="s">
        <v>179</v>
      </c>
      <c r="D198" s="19" t="s">
        <v>121</v>
      </c>
      <c r="E198" s="14">
        <f t="shared" si="1"/>
        <v>13</v>
      </c>
      <c r="F198" s="19">
        <f t="shared" si="2"/>
        <v>9</v>
      </c>
      <c r="G198" s="20">
        <f t="shared" si="3"/>
        <v>0.6923076923</v>
      </c>
      <c r="H198" s="19">
        <v>24.0</v>
      </c>
      <c r="I198" s="19">
        <v>30.0</v>
      </c>
      <c r="J198" s="19">
        <v>1.0</v>
      </c>
      <c r="K198" s="19">
        <v>6.0</v>
      </c>
      <c r="L198" s="19">
        <v>42.0</v>
      </c>
      <c r="M198" s="19">
        <v>52.0</v>
      </c>
      <c r="N198" s="19">
        <v>6.9</v>
      </c>
      <c r="O198" s="19" t="s">
        <v>143</v>
      </c>
      <c r="P198" s="19" t="s">
        <v>191</v>
      </c>
      <c r="Q198" s="20">
        <f t="shared" si="4"/>
        <v>0.6923076923</v>
      </c>
      <c r="R198" s="20">
        <f t="shared" si="5"/>
        <v>0.8</v>
      </c>
      <c r="S198" s="20">
        <f t="shared" si="6"/>
        <v>0.03333333333</v>
      </c>
      <c r="T198" s="20">
        <f t="shared" si="7"/>
        <v>0.8076923077</v>
      </c>
      <c r="U198" s="20">
        <f>IF(B198="","",MIN(Q198/Targets!$B$2,1)*Targets!$D$2+MIN(G198/100/Targets!$B$3,1)*Targets!$D$3+MIN(T198/Targets!$B$4,1)*Targets!$D$4+MIN(R198/Targets!$B$5,1)*Targets!$D$5+MIN(N198/Targets!$B$6,1)*Targets!$D$6+MIN(Targets!$B$7/MAX(S198,0.0001),1)*Targets!$D$7)</f>
        <v>0.6156564488</v>
      </c>
    </row>
    <row r="199">
      <c r="A199" s="18">
        <v>46227.0</v>
      </c>
      <c r="B199" s="19" t="s">
        <v>129</v>
      </c>
      <c r="C199" s="19" t="s">
        <v>188</v>
      </c>
      <c r="D199" s="19" t="s">
        <v>121</v>
      </c>
      <c r="E199" s="14">
        <f t="shared" si="1"/>
        <v>7</v>
      </c>
      <c r="F199" s="19">
        <f t="shared" si="2"/>
        <v>15</v>
      </c>
      <c r="G199" s="20">
        <f t="shared" si="3"/>
        <v>2.142857143</v>
      </c>
      <c r="H199" s="19">
        <v>41.0</v>
      </c>
      <c r="I199" s="19">
        <v>42.0</v>
      </c>
      <c r="J199" s="19">
        <v>2.0</v>
      </c>
      <c r="K199" s="19">
        <v>2.4</v>
      </c>
      <c r="L199" s="19">
        <v>44.0</v>
      </c>
      <c r="M199" s="19">
        <v>49.0</v>
      </c>
      <c r="N199" s="19">
        <v>7.4</v>
      </c>
      <c r="O199" s="19" t="s">
        <v>143</v>
      </c>
      <c r="P199" s="19" t="s">
        <v>191</v>
      </c>
      <c r="Q199" s="20">
        <f t="shared" si="4"/>
        <v>2.142857143</v>
      </c>
      <c r="R199" s="20">
        <f t="shared" si="5"/>
        <v>0.9761904762</v>
      </c>
      <c r="S199" s="20">
        <f t="shared" si="6"/>
        <v>0.04761904762</v>
      </c>
      <c r="T199" s="20">
        <f t="shared" si="7"/>
        <v>0.8979591837</v>
      </c>
      <c r="U199" s="20">
        <f>IF(B199="","",MIN(Q199/Targets!$B$2,1)*Targets!$D$2+MIN(G199/100/Targets!$B$3,1)*Targets!$D$3+MIN(T199/Targets!$B$4,1)*Targets!$D$4+MIN(R199/Targets!$B$5,1)*Targets!$D$5+MIN(N199/Targets!$B$6,1)*Targets!$D$6+MIN(Targets!$B$7/MAX(S199,0.0001),1)*Targets!$D$7)</f>
        <v>0.7068027211</v>
      </c>
    </row>
    <row r="200">
      <c r="A200" s="18">
        <v>46227.0</v>
      </c>
      <c r="B200" s="19" t="s">
        <v>132</v>
      </c>
      <c r="C200" s="19" t="s">
        <v>190</v>
      </c>
      <c r="D200" s="19" t="s">
        <v>121</v>
      </c>
      <c r="E200" s="14">
        <f t="shared" si="1"/>
        <v>16</v>
      </c>
      <c r="F200" s="19">
        <f t="shared" si="2"/>
        <v>14</v>
      </c>
      <c r="G200" s="20">
        <f t="shared" si="3"/>
        <v>0.875</v>
      </c>
      <c r="H200" s="19">
        <v>35.0</v>
      </c>
      <c r="I200" s="19">
        <v>38.0</v>
      </c>
      <c r="J200" s="19">
        <v>3.0</v>
      </c>
      <c r="K200" s="19">
        <v>4.5</v>
      </c>
      <c r="L200" s="19">
        <v>43.0</v>
      </c>
      <c r="M200" s="19">
        <v>48.0</v>
      </c>
      <c r="N200" s="19">
        <v>7.7</v>
      </c>
      <c r="O200" s="19" t="s">
        <v>143</v>
      </c>
      <c r="P200" s="19" t="s">
        <v>178</v>
      </c>
      <c r="Q200" s="20">
        <f t="shared" si="4"/>
        <v>0.875</v>
      </c>
      <c r="R200" s="20">
        <f t="shared" si="5"/>
        <v>0.9210526316</v>
      </c>
      <c r="S200" s="20">
        <f t="shared" si="6"/>
        <v>0.07894736842</v>
      </c>
      <c r="T200" s="20">
        <f t="shared" si="7"/>
        <v>0.8958333333</v>
      </c>
      <c r="U200" s="20">
        <f>IF(B200="","",MIN(Q200/Targets!$B$2,1)*Targets!$D$2+MIN(G200/100/Targets!$B$3,1)*Targets!$D$3+MIN(T200/Targets!$B$4,1)*Targets!$D$4+MIN(R200/Targets!$B$5,1)*Targets!$D$5+MIN(N200/Targets!$B$6,1)*Targets!$D$6+MIN(Targets!$B$7/MAX(S200,0.0001),1)*Targets!$D$7)</f>
        <v>0.6554293629</v>
      </c>
    </row>
    <row r="201">
      <c r="A201" s="18">
        <v>46227.0</v>
      </c>
      <c r="B201" s="19" t="s">
        <v>135</v>
      </c>
      <c r="C201" s="19" t="s">
        <v>169</v>
      </c>
      <c r="D201" s="19" t="s">
        <v>121</v>
      </c>
      <c r="E201" s="14">
        <f t="shared" si="1"/>
        <v>13</v>
      </c>
      <c r="F201" s="19">
        <f t="shared" si="2"/>
        <v>11</v>
      </c>
      <c r="G201" s="20">
        <f t="shared" si="3"/>
        <v>0.8461538462</v>
      </c>
      <c r="H201" s="19">
        <v>47.0</v>
      </c>
      <c r="I201" s="19">
        <v>48.0</v>
      </c>
      <c r="J201" s="19">
        <v>1.0</v>
      </c>
      <c r="K201" s="19">
        <v>3.0</v>
      </c>
      <c r="L201" s="19">
        <v>42.0</v>
      </c>
      <c r="M201" s="19">
        <v>48.0</v>
      </c>
      <c r="N201" s="19">
        <v>7.3</v>
      </c>
      <c r="O201" s="19" t="s">
        <v>143</v>
      </c>
      <c r="P201" s="19" t="s">
        <v>186</v>
      </c>
      <c r="Q201" s="20">
        <f t="shared" si="4"/>
        <v>0.8461538462</v>
      </c>
      <c r="R201" s="20">
        <f t="shared" si="5"/>
        <v>0.9791666667</v>
      </c>
      <c r="S201" s="20">
        <f t="shared" si="6"/>
        <v>0.02083333333</v>
      </c>
      <c r="T201" s="20">
        <f t="shared" si="7"/>
        <v>0.875</v>
      </c>
      <c r="U201" s="20">
        <f>IF(B201="","",MIN(Q201/Targets!$B$2,1)*Targets!$D$2+MIN(G201/100/Targets!$B$3,1)*Targets!$D$3+MIN(T201/Targets!$B$4,1)*Targets!$D$4+MIN(R201/Targets!$B$5,1)*Targets!$D$5+MIN(N201/Targets!$B$6,1)*Targets!$D$6+MIN(Targets!$B$7/MAX(S201,0.0001),1)*Targets!$D$7)</f>
        <v>0.6866880342</v>
      </c>
    </row>
    <row r="202">
      <c r="A202" s="18">
        <v>46230.0</v>
      </c>
      <c r="B202" s="19" t="s">
        <v>10</v>
      </c>
      <c r="C202" s="19" t="s">
        <v>14</v>
      </c>
      <c r="D202" s="19" t="s">
        <v>121</v>
      </c>
      <c r="E202" s="14">
        <f t="shared" si="1"/>
        <v>12</v>
      </c>
      <c r="F202" s="19">
        <f t="shared" si="2"/>
        <v>10</v>
      </c>
      <c r="G202" s="20">
        <f t="shared" si="3"/>
        <v>0.8333333333</v>
      </c>
      <c r="H202" s="19">
        <v>58.0</v>
      </c>
      <c r="I202" s="19">
        <v>59.0</v>
      </c>
      <c r="J202" s="19">
        <v>3.0</v>
      </c>
      <c r="K202" s="19">
        <v>2.8</v>
      </c>
      <c r="L202" s="19">
        <v>57.0</v>
      </c>
      <c r="M202" s="19">
        <v>68.0</v>
      </c>
      <c r="N202" s="19">
        <v>7.7</v>
      </c>
      <c r="O202" s="19" t="s">
        <v>143</v>
      </c>
      <c r="P202" s="19" t="s">
        <v>144</v>
      </c>
      <c r="Q202" s="20">
        <f t="shared" si="4"/>
        <v>0.8333333333</v>
      </c>
      <c r="R202" s="20">
        <f t="shared" si="5"/>
        <v>0.9830508475</v>
      </c>
      <c r="S202" s="20">
        <f t="shared" si="6"/>
        <v>0.05084745763</v>
      </c>
      <c r="T202" s="20">
        <f t="shared" si="7"/>
        <v>0.8382352941</v>
      </c>
      <c r="U202" s="20">
        <f>IF(B202="","",MIN(Q202/Targets!$B$2,1)*Targets!$D$2+MIN(G202/100/Targets!$B$3,1)*Targets!$D$3+MIN(T202/Targets!$B$4,1)*Targets!$D$4+MIN(R202/Targets!$B$5,1)*Targets!$D$5+MIN(N202/Targets!$B$6,1)*Targets!$D$6+MIN(Targets!$B$7/MAX(S202,0.0001),1)*Targets!$D$7)</f>
        <v>0.6760021786</v>
      </c>
    </row>
    <row r="203">
      <c r="A203" s="18">
        <v>46230.0</v>
      </c>
      <c r="B203" s="19" t="s">
        <v>25</v>
      </c>
      <c r="C203" s="19" t="s">
        <v>167</v>
      </c>
      <c r="D203" s="19" t="s">
        <v>121</v>
      </c>
      <c r="E203" s="14">
        <f t="shared" si="1"/>
        <v>13</v>
      </c>
      <c r="F203" s="19">
        <f t="shared" si="2"/>
        <v>6</v>
      </c>
      <c r="G203" s="20">
        <f t="shared" si="3"/>
        <v>0.4615384615</v>
      </c>
      <c r="H203" s="19">
        <v>30.0</v>
      </c>
      <c r="I203" s="19">
        <v>35.0</v>
      </c>
      <c r="J203" s="19">
        <v>1.0</v>
      </c>
      <c r="K203" s="19">
        <v>4.3</v>
      </c>
      <c r="L203" s="19">
        <v>40.0</v>
      </c>
      <c r="M203" s="19">
        <v>43.0</v>
      </c>
      <c r="N203" s="19">
        <v>8.0</v>
      </c>
      <c r="O203" s="19" t="s">
        <v>143</v>
      </c>
      <c r="P203" s="19" t="s">
        <v>189</v>
      </c>
      <c r="Q203" s="20">
        <f t="shared" si="4"/>
        <v>0.4615384615</v>
      </c>
      <c r="R203" s="20">
        <f t="shared" si="5"/>
        <v>0.8571428571</v>
      </c>
      <c r="S203" s="20">
        <f t="shared" si="6"/>
        <v>0.02857142857</v>
      </c>
      <c r="T203" s="20">
        <f t="shared" si="7"/>
        <v>0.9302325581</v>
      </c>
      <c r="U203" s="20">
        <f>IF(B203="","",MIN(Q203/Targets!$B$2,1)*Targets!$D$2+MIN(G203/100/Targets!$B$3,1)*Targets!$D$3+MIN(T203/Targets!$B$4,1)*Targets!$D$4+MIN(R203/Targets!$B$5,1)*Targets!$D$5+MIN(N203/Targets!$B$6,1)*Targets!$D$6+MIN(Targets!$B$7/MAX(S203,0.0001),1)*Targets!$D$7)</f>
        <v>0.58944091</v>
      </c>
    </row>
    <row r="204">
      <c r="A204" s="18">
        <v>46230.0</v>
      </c>
      <c r="B204" s="19" t="s">
        <v>37</v>
      </c>
      <c r="C204" s="19" t="s">
        <v>169</v>
      </c>
      <c r="D204" s="19" t="s">
        <v>121</v>
      </c>
      <c r="E204" s="14">
        <f t="shared" si="1"/>
        <v>16</v>
      </c>
      <c r="F204" s="19">
        <f t="shared" si="2"/>
        <v>15</v>
      </c>
      <c r="G204" s="20">
        <f t="shared" si="3"/>
        <v>0.9375</v>
      </c>
      <c r="H204" s="19">
        <v>41.0</v>
      </c>
      <c r="I204" s="19">
        <v>44.0</v>
      </c>
      <c r="J204" s="19">
        <v>1.0</v>
      </c>
      <c r="K204" s="19">
        <v>2.8</v>
      </c>
      <c r="L204" s="19">
        <v>45.0</v>
      </c>
      <c r="M204" s="19">
        <v>50.0</v>
      </c>
      <c r="N204" s="19">
        <v>8.2</v>
      </c>
      <c r="O204" s="19" t="s">
        <v>143</v>
      </c>
      <c r="P204" s="19" t="s">
        <v>189</v>
      </c>
      <c r="Q204" s="20">
        <f t="shared" si="4"/>
        <v>0.9375</v>
      </c>
      <c r="R204" s="20">
        <f t="shared" si="5"/>
        <v>0.9318181818</v>
      </c>
      <c r="S204" s="20">
        <f t="shared" si="6"/>
        <v>0.02272727273</v>
      </c>
      <c r="T204" s="20">
        <f t="shared" si="7"/>
        <v>0.9</v>
      </c>
      <c r="U204" s="20">
        <f>IF(B204="","",MIN(Q204/Targets!$B$2,1)*Targets!$D$2+MIN(G204/100/Targets!$B$3,1)*Targets!$D$3+MIN(T204/Targets!$B$4,1)*Targets!$D$4+MIN(R204/Targets!$B$5,1)*Targets!$D$5+MIN(N204/Targets!$B$6,1)*Targets!$D$6+MIN(Targets!$B$7/MAX(S204,0.0001),1)*Targets!$D$7)</f>
        <v>0.7002541866</v>
      </c>
    </row>
    <row r="205">
      <c r="A205" s="18">
        <v>46230.0</v>
      </c>
      <c r="B205" s="19" t="s">
        <v>42</v>
      </c>
      <c r="C205" s="19" t="s">
        <v>171</v>
      </c>
      <c r="D205" s="19" t="s">
        <v>121</v>
      </c>
      <c r="E205" s="14">
        <f t="shared" si="1"/>
        <v>14</v>
      </c>
      <c r="F205" s="19">
        <f t="shared" si="2"/>
        <v>14</v>
      </c>
      <c r="G205" s="20">
        <f t="shared" si="3"/>
        <v>1</v>
      </c>
      <c r="H205" s="19">
        <v>27.0</v>
      </c>
      <c r="I205" s="19">
        <v>33.0</v>
      </c>
      <c r="J205" s="19">
        <v>1.0</v>
      </c>
      <c r="K205" s="19">
        <v>6.4</v>
      </c>
      <c r="L205" s="19">
        <v>37.0</v>
      </c>
      <c r="M205" s="19">
        <v>50.0</v>
      </c>
      <c r="N205" s="19">
        <v>5.7</v>
      </c>
      <c r="O205" s="19" t="s">
        <v>143</v>
      </c>
      <c r="P205" s="19" t="s">
        <v>187</v>
      </c>
      <c r="Q205" s="20">
        <f t="shared" si="4"/>
        <v>1</v>
      </c>
      <c r="R205" s="20">
        <f t="shared" si="5"/>
        <v>0.8181818182</v>
      </c>
      <c r="S205" s="20">
        <f t="shared" si="6"/>
        <v>0.0303030303</v>
      </c>
      <c r="T205" s="20">
        <f t="shared" si="7"/>
        <v>0.74</v>
      </c>
      <c r="U205" s="20">
        <f>IF(B205="","",MIN(Q205/Targets!$B$2,1)*Targets!$D$2+MIN(G205/100/Targets!$B$3,1)*Targets!$D$3+MIN(T205/Targets!$B$4,1)*Targets!$D$4+MIN(R205/Targets!$B$5,1)*Targets!$D$5+MIN(N205/Targets!$B$6,1)*Targets!$D$6+MIN(Targets!$B$7/MAX(S205,0.0001),1)*Targets!$D$7)</f>
        <v>0.637281841</v>
      </c>
    </row>
    <row r="206">
      <c r="A206" s="18">
        <v>46230.0</v>
      </c>
      <c r="B206" s="19" t="s">
        <v>46</v>
      </c>
      <c r="C206" s="19" t="s">
        <v>179</v>
      </c>
      <c r="D206" s="19" t="s">
        <v>121</v>
      </c>
      <c r="E206" s="14">
        <f t="shared" si="1"/>
        <v>11</v>
      </c>
      <c r="F206" s="19">
        <f t="shared" si="2"/>
        <v>6</v>
      </c>
      <c r="G206" s="20">
        <f t="shared" si="3"/>
        <v>0.5454545455</v>
      </c>
      <c r="H206" s="19">
        <v>33.0</v>
      </c>
      <c r="I206" s="19">
        <v>35.0</v>
      </c>
      <c r="J206" s="19">
        <v>2.0</v>
      </c>
      <c r="K206" s="19">
        <v>2.9</v>
      </c>
      <c r="L206" s="19">
        <v>40.0</v>
      </c>
      <c r="M206" s="19">
        <v>47.0</v>
      </c>
      <c r="N206" s="19">
        <v>6.8</v>
      </c>
      <c r="O206" s="19" t="s">
        <v>143</v>
      </c>
      <c r="P206" s="19" t="s">
        <v>168</v>
      </c>
      <c r="Q206" s="20">
        <f t="shared" si="4"/>
        <v>0.5454545455</v>
      </c>
      <c r="R206" s="20">
        <f t="shared" si="5"/>
        <v>0.9428571429</v>
      </c>
      <c r="S206" s="20">
        <f t="shared" si="6"/>
        <v>0.05714285714</v>
      </c>
      <c r="T206" s="20">
        <f t="shared" si="7"/>
        <v>0.8510638298</v>
      </c>
      <c r="U206" s="20">
        <f>IF(B206="","",MIN(Q206/Targets!$B$2,1)*Targets!$D$2+MIN(G206/100/Targets!$B$3,1)*Targets!$D$3+MIN(T206/Targets!$B$4,1)*Targets!$D$4+MIN(R206/Targets!$B$5,1)*Targets!$D$5+MIN(N206/Targets!$B$6,1)*Targets!$D$6+MIN(Targets!$B$7/MAX(S206,0.0001),1)*Targets!$D$7)</f>
        <v>0.5983893123</v>
      </c>
    </row>
    <row r="207">
      <c r="A207" s="18">
        <v>46230.0</v>
      </c>
      <c r="B207" s="19" t="s">
        <v>53</v>
      </c>
      <c r="C207" s="19" t="s">
        <v>14</v>
      </c>
      <c r="D207" s="19" t="s">
        <v>121</v>
      </c>
      <c r="E207" s="14">
        <f t="shared" si="1"/>
        <v>13</v>
      </c>
      <c r="F207" s="19">
        <f t="shared" si="2"/>
        <v>15</v>
      </c>
      <c r="G207" s="20">
        <f t="shared" si="3"/>
        <v>1.153846154</v>
      </c>
      <c r="H207" s="19">
        <v>36.0</v>
      </c>
      <c r="I207" s="19">
        <v>42.0</v>
      </c>
      <c r="J207" s="19">
        <v>3.0</v>
      </c>
      <c r="K207" s="19">
        <v>3.0</v>
      </c>
      <c r="L207" s="19">
        <v>43.0</v>
      </c>
      <c r="M207" s="19">
        <v>45.0</v>
      </c>
      <c r="N207" s="19">
        <v>7.6</v>
      </c>
      <c r="O207" s="19" t="s">
        <v>143</v>
      </c>
      <c r="P207" s="19" t="s">
        <v>191</v>
      </c>
      <c r="Q207" s="20">
        <f t="shared" si="4"/>
        <v>1.153846154</v>
      </c>
      <c r="R207" s="20">
        <f t="shared" si="5"/>
        <v>0.8571428571</v>
      </c>
      <c r="S207" s="20">
        <f t="shared" si="6"/>
        <v>0.07142857143</v>
      </c>
      <c r="T207" s="20">
        <f t="shared" si="7"/>
        <v>0.9555555556</v>
      </c>
      <c r="U207" s="20">
        <f>IF(B207="","",MIN(Q207/Targets!$B$2,1)*Targets!$D$2+MIN(G207/100/Targets!$B$3,1)*Targets!$D$3+MIN(T207/Targets!$B$4,1)*Targets!$D$4+MIN(R207/Targets!$B$5,1)*Targets!$D$5+MIN(N207/Targets!$B$6,1)*Targets!$D$6+MIN(Targets!$B$7/MAX(S207,0.0001),1)*Targets!$D$7)</f>
        <v>0.6591844997</v>
      </c>
    </row>
    <row r="208">
      <c r="A208" s="18">
        <v>46230.0</v>
      </c>
      <c r="B208" s="19" t="s">
        <v>65</v>
      </c>
      <c r="C208" s="19" t="s">
        <v>167</v>
      </c>
      <c r="D208" s="19" t="s">
        <v>121</v>
      </c>
      <c r="E208" s="14">
        <f t="shared" si="1"/>
        <v>13</v>
      </c>
      <c r="F208" s="19">
        <f t="shared" si="2"/>
        <v>14</v>
      </c>
      <c r="G208" s="20">
        <f t="shared" si="3"/>
        <v>1.076923077</v>
      </c>
      <c r="H208" s="19">
        <v>33.0</v>
      </c>
      <c r="I208" s="19">
        <v>34.0</v>
      </c>
      <c r="J208" s="19">
        <v>2.0</v>
      </c>
      <c r="K208" s="19">
        <v>1.6</v>
      </c>
      <c r="L208" s="19">
        <v>42.0</v>
      </c>
      <c r="M208" s="19">
        <v>47.0</v>
      </c>
      <c r="N208" s="19">
        <v>8.1</v>
      </c>
      <c r="O208" s="19" t="s">
        <v>143</v>
      </c>
      <c r="P208" s="19" t="s">
        <v>186</v>
      </c>
      <c r="Q208" s="20">
        <f t="shared" si="4"/>
        <v>1.076923077</v>
      </c>
      <c r="R208" s="20">
        <f t="shared" si="5"/>
        <v>0.9705882353</v>
      </c>
      <c r="S208" s="20">
        <f t="shared" si="6"/>
        <v>0.05882352941</v>
      </c>
      <c r="T208" s="20">
        <f t="shared" si="7"/>
        <v>0.8936170213</v>
      </c>
      <c r="U208" s="20">
        <f>IF(B208="","",MIN(Q208/Targets!$B$2,1)*Targets!$D$2+MIN(G208/100/Targets!$B$3,1)*Targets!$D$3+MIN(T208/Targets!$B$4,1)*Targets!$D$4+MIN(R208/Targets!$B$5,1)*Targets!$D$5+MIN(N208/Targets!$B$6,1)*Targets!$D$6+MIN(Targets!$B$7/MAX(S208,0.0001),1)*Targets!$D$7)</f>
        <v>0.6875259138</v>
      </c>
    </row>
    <row r="209">
      <c r="A209" s="18">
        <v>46230.0</v>
      </c>
      <c r="B209" s="19" t="s">
        <v>73</v>
      </c>
      <c r="C209" s="19" t="s">
        <v>169</v>
      </c>
      <c r="D209" s="19" t="s">
        <v>121</v>
      </c>
      <c r="E209" s="14">
        <f t="shared" si="1"/>
        <v>16</v>
      </c>
      <c r="F209" s="19">
        <f t="shared" si="2"/>
        <v>14</v>
      </c>
      <c r="G209" s="20">
        <f t="shared" si="3"/>
        <v>0.875</v>
      </c>
      <c r="H209" s="19">
        <v>25.0</v>
      </c>
      <c r="I209" s="19">
        <v>29.0</v>
      </c>
      <c r="J209" s="19">
        <v>1.0</v>
      </c>
      <c r="K209" s="19">
        <v>3.1</v>
      </c>
      <c r="L209" s="19">
        <v>40.0</v>
      </c>
      <c r="M209" s="19">
        <v>50.0</v>
      </c>
      <c r="N209" s="19">
        <v>7.7</v>
      </c>
      <c r="O209" s="19" t="s">
        <v>143</v>
      </c>
      <c r="P209" s="19" t="s">
        <v>189</v>
      </c>
      <c r="Q209" s="20">
        <f t="shared" si="4"/>
        <v>0.875</v>
      </c>
      <c r="R209" s="20">
        <f t="shared" si="5"/>
        <v>0.8620689655</v>
      </c>
      <c r="S209" s="20">
        <f t="shared" si="6"/>
        <v>0.03448275862</v>
      </c>
      <c r="T209" s="20">
        <f t="shared" si="7"/>
        <v>0.8</v>
      </c>
      <c r="U209" s="20">
        <f>IF(B209="","",MIN(Q209/Targets!$B$2,1)*Targets!$D$2+MIN(G209/100/Targets!$B$3,1)*Targets!$D$3+MIN(T209/Targets!$B$4,1)*Targets!$D$4+MIN(R209/Targets!$B$5,1)*Targets!$D$5+MIN(N209/Targets!$B$6,1)*Targets!$D$6+MIN(Targets!$B$7/MAX(S209,0.0001),1)*Targets!$D$7)</f>
        <v>0.6668105969</v>
      </c>
    </row>
    <row r="210">
      <c r="A210" s="18">
        <v>46230.0</v>
      </c>
      <c r="B210" s="19" t="s">
        <v>78</v>
      </c>
      <c r="C210" s="19" t="s">
        <v>171</v>
      </c>
      <c r="D210" s="19" t="s">
        <v>121</v>
      </c>
      <c r="E210" s="14">
        <f t="shared" si="1"/>
        <v>7</v>
      </c>
      <c r="F210" s="19">
        <f t="shared" si="2"/>
        <v>6</v>
      </c>
      <c r="G210" s="20">
        <f t="shared" si="3"/>
        <v>0.8571428571</v>
      </c>
      <c r="H210" s="19">
        <v>39.0</v>
      </c>
      <c r="I210" s="19">
        <v>42.0</v>
      </c>
      <c r="J210" s="19">
        <v>2.0</v>
      </c>
      <c r="K210" s="19">
        <v>3.7</v>
      </c>
      <c r="L210" s="19">
        <v>53.0</v>
      </c>
      <c r="M210" s="19">
        <v>57.0</v>
      </c>
      <c r="N210" s="19">
        <v>7.4</v>
      </c>
      <c r="O210" s="19" t="s">
        <v>143</v>
      </c>
      <c r="P210" s="19" t="s">
        <v>187</v>
      </c>
      <c r="Q210" s="20">
        <f t="shared" si="4"/>
        <v>0.8571428571</v>
      </c>
      <c r="R210" s="20">
        <f t="shared" si="5"/>
        <v>0.9285714286</v>
      </c>
      <c r="S210" s="20">
        <f t="shared" si="6"/>
        <v>0.04761904762</v>
      </c>
      <c r="T210" s="20">
        <f t="shared" si="7"/>
        <v>0.9298245614</v>
      </c>
      <c r="U210" s="20">
        <f>IF(B210="","",MIN(Q210/Targets!$B$2,1)*Targets!$D$2+MIN(G210/100/Targets!$B$3,1)*Targets!$D$3+MIN(T210/Targets!$B$4,1)*Targets!$D$4+MIN(R210/Targets!$B$5,1)*Targets!$D$5+MIN(N210/Targets!$B$6,1)*Targets!$D$6+MIN(Targets!$B$7/MAX(S210,0.0001),1)*Targets!$D$7)</f>
        <v>0.6899498747</v>
      </c>
    </row>
    <row r="211">
      <c r="A211" s="18">
        <v>46230.0</v>
      </c>
      <c r="B211" s="19" t="s">
        <v>84</v>
      </c>
      <c r="C211" s="19" t="s">
        <v>179</v>
      </c>
      <c r="D211" s="19" t="s">
        <v>121</v>
      </c>
      <c r="E211" s="14">
        <f t="shared" si="1"/>
        <v>16</v>
      </c>
      <c r="F211" s="19">
        <f t="shared" si="2"/>
        <v>13</v>
      </c>
      <c r="G211" s="20">
        <f t="shared" si="3"/>
        <v>0.8125</v>
      </c>
      <c r="H211" s="19">
        <v>25.0</v>
      </c>
      <c r="I211" s="19">
        <v>28.0</v>
      </c>
      <c r="J211" s="19">
        <v>2.0</v>
      </c>
      <c r="K211" s="19">
        <v>3.5</v>
      </c>
      <c r="L211" s="19">
        <v>39.0</v>
      </c>
      <c r="M211" s="19">
        <v>48.0</v>
      </c>
      <c r="N211" s="19">
        <v>7.2</v>
      </c>
      <c r="O211" s="19" t="s">
        <v>143</v>
      </c>
      <c r="P211" s="19" t="s">
        <v>178</v>
      </c>
      <c r="Q211" s="20">
        <f t="shared" si="4"/>
        <v>0.8125</v>
      </c>
      <c r="R211" s="20">
        <f t="shared" si="5"/>
        <v>0.8928571429</v>
      </c>
      <c r="S211" s="20">
        <f t="shared" si="6"/>
        <v>0.07142857143</v>
      </c>
      <c r="T211" s="20">
        <f t="shared" si="7"/>
        <v>0.8125</v>
      </c>
      <c r="U211" s="20">
        <f>IF(B211="","",MIN(Q211/Targets!$B$2,1)*Targets!$D$2+MIN(G211/100/Targets!$B$3,1)*Targets!$D$3+MIN(T211/Targets!$B$4,1)*Targets!$D$4+MIN(R211/Targets!$B$5,1)*Targets!$D$5+MIN(N211/Targets!$B$6,1)*Targets!$D$6+MIN(Targets!$B$7/MAX(S211,0.0001),1)*Targets!$D$7)</f>
        <v>0.6296579992</v>
      </c>
    </row>
    <row r="212">
      <c r="A212" s="18">
        <v>46230.0</v>
      </c>
      <c r="B212" s="19" t="s">
        <v>91</v>
      </c>
      <c r="C212" s="19" t="s">
        <v>188</v>
      </c>
      <c r="D212" s="19" t="s">
        <v>121</v>
      </c>
      <c r="E212" s="14">
        <f t="shared" si="1"/>
        <v>8</v>
      </c>
      <c r="F212" s="19">
        <f t="shared" si="2"/>
        <v>10</v>
      </c>
      <c r="G212" s="20">
        <f t="shared" si="3"/>
        <v>1.25</v>
      </c>
      <c r="H212" s="19">
        <v>50.0</v>
      </c>
      <c r="I212" s="19">
        <v>54.0</v>
      </c>
      <c r="J212" s="19">
        <v>4.0</v>
      </c>
      <c r="K212" s="19">
        <v>2.2</v>
      </c>
      <c r="L212" s="19">
        <v>57.0</v>
      </c>
      <c r="M212" s="19">
        <v>63.0</v>
      </c>
      <c r="N212" s="19">
        <v>7.7</v>
      </c>
      <c r="O212" s="19" t="s">
        <v>143</v>
      </c>
      <c r="P212" s="19" t="s">
        <v>168</v>
      </c>
      <c r="Q212" s="20">
        <f t="shared" si="4"/>
        <v>1.25</v>
      </c>
      <c r="R212" s="20">
        <f t="shared" si="5"/>
        <v>0.9259259259</v>
      </c>
      <c r="S212" s="20">
        <f t="shared" si="6"/>
        <v>0.07407407407</v>
      </c>
      <c r="T212" s="20">
        <f t="shared" si="7"/>
        <v>0.9047619048</v>
      </c>
      <c r="U212" s="20">
        <f>IF(B212="","",MIN(Q212/Targets!$B$2,1)*Targets!$D$2+MIN(G212/100/Targets!$B$3,1)*Targets!$D$3+MIN(T212/Targets!$B$4,1)*Targets!$D$4+MIN(R212/Targets!$B$5,1)*Targets!$D$5+MIN(N212/Targets!$B$6,1)*Targets!$D$6+MIN(Targets!$B$7/MAX(S212,0.0001),1)*Targets!$D$7)</f>
        <v>0.6678654971</v>
      </c>
    </row>
    <row r="213">
      <c r="A213" s="18">
        <v>46230.0</v>
      </c>
      <c r="B213" s="19" t="s">
        <v>100</v>
      </c>
      <c r="C213" s="19" t="s">
        <v>190</v>
      </c>
      <c r="D213" s="19" t="s">
        <v>121</v>
      </c>
      <c r="E213" s="14">
        <f t="shared" si="1"/>
        <v>9</v>
      </c>
      <c r="F213" s="19">
        <f t="shared" si="2"/>
        <v>13</v>
      </c>
      <c r="G213" s="20">
        <f t="shared" si="3"/>
        <v>1.444444444</v>
      </c>
      <c r="H213" s="19">
        <v>43.0</v>
      </c>
      <c r="I213" s="19">
        <v>45.0</v>
      </c>
      <c r="J213" s="19">
        <v>1.0</v>
      </c>
      <c r="K213" s="19">
        <v>1.6</v>
      </c>
      <c r="L213" s="19">
        <v>48.0</v>
      </c>
      <c r="M213" s="19">
        <v>54.0</v>
      </c>
      <c r="N213" s="19">
        <v>8.1</v>
      </c>
      <c r="O213" s="19" t="s">
        <v>143</v>
      </c>
      <c r="P213" s="19" t="s">
        <v>187</v>
      </c>
      <c r="Q213" s="20">
        <f t="shared" si="4"/>
        <v>1.444444444</v>
      </c>
      <c r="R213" s="20">
        <f t="shared" si="5"/>
        <v>0.9555555556</v>
      </c>
      <c r="S213" s="20">
        <f t="shared" si="6"/>
        <v>0.02222222222</v>
      </c>
      <c r="T213" s="20">
        <f t="shared" si="7"/>
        <v>0.8888888889</v>
      </c>
      <c r="U213" s="20">
        <f>IF(B213="","",MIN(Q213/Targets!$B$2,1)*Targets!$D$2+MIN(G213/100/Targets!$B$3,1)*Targets!$D$3+MIN(T213/Targets!$B$4,1)*Targets!$D$4+MIN(R213/Targets!$B$5,1)*Targets!$D$5+MIN(N213/Targets!$B$6,1)*Targets!$D$6+MIN(Targets!$B$7/MAX(S213,0.0001),1)*Targets!$D$7)</f>
        <v>0.702962963</v>
      </c>
    </row>
    <row r="214">
      <c r="A214" s="18">
        <v>46230.0</v>
      </c>
      <c r="B214" s="19" t="s">
        <v>109</v>
      </c>
      <c r="C214" s="19" t="s">
        <v>14</v>
      </c>
      <c r="D214" s="19" t="s">
        <v>121</v>
      </c>
      <c r="E214" s="14">
        <f t="shared" si="1"/>
        <v>8</v>
      </c>
      <c r="F214" s="19">
        <f t="shared" si="2"/>
        <v>10</v>
      </c>
      <c r="G214" s="20">
        <f t="shared" si="3"/>
        <v>1.25</v>
      </c>
      <c r="H214" s="19">
        <v>28.0</v>
      </c>
      <c r="I214" s="19">
        <v>35.0</v>
      </c>
      <c r="J214" s="19">
        <v>2.0</v>
      </c>
      <c r="K214" s="19">
        <v>5.0</v>
      </c>
      <c r="L214" s="19">
        <v>40.0</v>
      </c>
      <c r="M214" s="19">
        <v>55.0</v>
      </c>
      <c r="N214" s="19">
        <v>5.7</v>
      </c>
      <c r="O214" s="19" t="s">
        <v>143</v>
      </c>
      <c r="P214" s="19" t="s">
        <v>186</v>
      </c>
      <c r="Q214" s="20">
        <f t="shared" si="4"/>
        <v>1.25</v>
      </c>
      <c r="R214" s="20">
        <f t="shared" si="5"/>
        <v>0.8</v>
      </c>
      <c r="S214" s="20">
        <f t="shared" si="6"/>
        <v>0.05714285714</v>
      </c>
      <c r="T214" s="20">
        <f t="shared" si="7"/>
        <v>0.7272727273</v>
      </c>
      <c r="U214" s="20">
        <f>IF(B214="","",MIN(Q214/Targets!$B$2,1)*Targets!$D$2+MIN(G214/100/Targets!$B$3,1)*Targets!$D$3+MIN(T214/Targets!$B$4,1)*Targets!$D$4+MIN(R214/Targets!$B$5,1)*Targets!$D$5+MIN(N214/Targets!$B$6,1)*Targets!$D$6+MIN(Targets!$B$7/MAX(S214,0.0001),1)*Targets!$D$7)</f>
        <v>0.6206231488</v>
      </c>
    </row>
    <row r="215">
      <c r="A215" s="18">
        <v>46230.0</v>
      </c>
      <c r="B215" s="19" t="s">
        <v>115</v>
      </c>
      <c r="C215" s="19" t="s">
        <v>167</v>
      </c>
      <c r="D215" s="19" t="s">
        <v>121</v>
      </c>
      <c r="E215" s="14">
        <f t="shared" si="1"/>
        <v>8</v>
      </c>
      <c r="F215" s="19">
        <f t="shared" si="2"/>
        <v>15</v>
      </c>
      <c r="G215" s="20">
        <f t="shared" si="3"/>
        <v>1.875</v>
      </c>
      <c r="H215" s="19">
        <v>46.0</v>
      </c>
      <c r="I215" s="19">
        <v>48.0</v>
      </c>
      <c r="J215" s="19">
        <v>1.0</v>
      </c>
      <c r="K215" s="19">
        <v>3.0</v>
      </c>
      <c r="L215" s="19">
        <v>54.0</v>
      </c>
      <c r="M215" s="19">
        <v>55.0</v>
      </c>
      <c r="N215" s="19">
        <v>7.8</v>
      </c>
      <c r="O215" s="19" t="s">
        <v>143</v>
      </c>
      <c r="P215" s="19" t="s">
        <v>189</v>
      </c>
      <c r="Q215" s="20">
        <f t="shared" si="4"/>
        <v>1.875</v>
      </c>
      <c r="R215" s="20">
        <f t="shared" si="5"/>
        <v>0.9583333333</v>
      </c>
      <c r="S215" s="20">
        <f t="shared" si="6"/>
        <v>0.02083333333</v>
      </c>
      <c r="T215" s="20">
        <f t="shared" si="7"/>
        <v>0.9818181818</v>
      </c>
      <c r="U215" s="20">
        <f>IF(B215="","",MIN(Q215/Targets!$B$2,1)*Targets!$D$2+MIN(G215/100/Targets!$B$3,1)*Targets!$D$3+MIN(T215/Targets!$B$4,1)*Targets!$D$4+MIN(R215/Targets!$B$5,1)*Targets!$D$5+MIN(N215/Targets!$B$6,1)*Targets!$D$6+MIN(Targets!$B$7/MAX(S215,0.0001),1)*Targets!$D$7)</f>
        <v>0.70625</v>
      </c>
    </row>
    <row r="216">
      <c r="A216" s="18">
        <v>46230.0</v>
      </c>
      <c r="B216" s="19" t="s">
        <v>118</v>
      </c>
      <c r="C216" s="19" t="s">
        <v>169</v>
      </c>
      <c r="D216" s="19" t="s">
        <v>121</v>
      </c>
      <c r="E216" s="14">
        <f t="shared" si="1"/>
        <v>13</v>
      </c>
      <c r="F216" s="19">
        <f t="shared" si="2"/>
        <v>14</v>
      </c>
      <c r="G216" s="20">
        <f t="shared" si="3"/>
        <v>1.076923077</v>
      </c>
      <c r="H216" s="19">
        <v>38.0</v>
      </c>
      <c r="I216" s="19">
        <v>43.0</v>
      </c>
      <c r="J216" s="19">
        <v>2.0</v>
      </c>
      <c r="K216" s="19">
        <v>4.2</v>
      </c>
      <c r="L216" s="19">
        <v>50.0</v>
      </c>
      <c r="M216" s="19">
        <v>55.0</v>
      </c>
      <c r="N216" s="19">
        <v>7.1</v>
      </c>
      <c r="O216" s="19" t="s">
        <v>143</v>
      </c>
      <c r="P216" s="19" t="s">
        <v>186</v>
      </c>
      <c r="Q216" s="20">
        <f t="shared" si="4"/>
        <v>1.076923077</v>
      </c>
      <c r="R216" s="20">
        <f t="shared" si="5"/>
        <v>0.8837209302</v>
      </c>
      <c r="S216" s="20">
        <f t="shared" si="6"/>
        <v>0.04651162791</v>
      </c>
      <c r="T216" s="20">
        <f t="shared" si="7"/>
        <v>0.9090909091</v>
      </c>
      <c r="U216" s="20">
        <f>IF(B216="","",MIN(Q216/Targets!$B$2,1)*Targets!$D$2+MIN(G216/100/Targets!$B$3,1)*Targets!$D$3+MIN(T216/Targets!$B$4,1)*Targets!$D$4+MIN(R216/Targets!$B$5,1)*Targets!$D$5+MIN(N216/Targets!$B$6,1)*Targets!$D$6+MIN(Targets!$B$7/MAX(S216,0.0001),1)*Targets!$D$7)</f>
        <v>0.6931246273</v>
      </c>
    </row>
    <row r="217">
      <c r="A217" s="18">
        <v>46230.0</v>
      </c>
      <c r="B217" s="19" t="s">
        <v>123</v>
      </c>
      <c r="C217" s="19" t="s">
        <v>171</v>
      </c>
      <c r="D217" s="19" t="s">
        <v>121</v>
      </c>
      <c r="E217" s="14">
        <f t="shared" si="1"/>
        <v>14</v>
      </c>
      <c r="F217" s="19">
        <f t="shared" si="2"/>
        <v>9</v>
      </c>
      <c r="G217" s="20">
        <f t="shared" si="3"/>
        <v>0.6428571429</v>
      </c>
      <c r="H217" s="19">
        <v>35.0</v>
      </c>
      <c r="I217" s="19">
        <v>37.0</v>
      </c>
      <c r="J217" s="19">
        <v>1.0</v>
      </c>
      <c r="K217" s="19">
        <v>4.3</v>
      </c>
      <c r="L217" s="19">
        <v>40.0</v>
      </c>
      <c r="M217" s="19">
        <v>43.0</v>
      </c>
      <c r="N217" s="19">
        <v>7.8</v>
      </c>
      <c r="O217" s="19" t="s">
        <v>143</v>
      </c>
      <c r="P217" s="19" t="s">
        <v>144</v>
      </c>
      <c r="Q217" s="20">
        <f t="shared" si="4"/>
        <v>0.6428571429</v>
      </c>
      <c r="R217" s="20">
        <f t="shared" si="5"/>
        <v>0.9459459459</v>
      </c>
      <c r="S217" s="20">
        <f t="shared" si="6"/>
        <v>0.02702702703</v>
      </c>
      <c r="T217" s="20">
        <f t="shared" si="7"/>
        <v>0.9302325581</v>
      </c>
      <c r="U217" s="20">
        <f>IF(B217="","",MIN(Q217/Targets!$B$2,1)*Targets!$D$2+MIN(G217/100/Targets!$B$3,1)*Targets!$D$3+MIN(T217/Targets!$B$4,1)*Targets!$D$4+MIN(R217/Targets!$B$5,1)*Targets!$D$5+MIN(N217/Targets!$B$6,1)*Targets!$D$6+MIN(Targets!$B$7/MAX(S217,0.0001),1)*Targets!$D$7)</f>
        <v>0.6443598862</v>
      </c>
    </row>
    <row r="218">
      <c r="A218" s="18">
        <v>46230.0</v>
      </c>
      <c r="B218" s="19" t="s">
        <v>126</v>
      </c>
      <c r="C218" s="19" t="s">
        <v>179</v>
      </c>
      <c r="D218" s="19" t="s">
        <v>121</v>
      </c>
      <c r="E218" s="14">
        <f t="shared" si="1"/>
        <v>15</v>
      </c>
      <c r="F218" s="19">
        <f t="shared" si="2"/>
        <v>10</v>
      </c>
      <c r="G218" s="20">
        <f t="shared" si="3"/>
        <v>0.6666666667</v>
      </c>
      <c r="H218" s="19">
        <v>18.0</v>
      </c>
      <c r="I218" s="19">
        <v>22.0</v>
      </c>
      <c r="J218" s="19">
        <v>2.0</v>
      </c>
      <c r="K218" s="19">
        <v>4.9</v>
      </c>
      <c r="L218" s="19">
        <v>15.0</v>
      </c>
      <c r="M218" s="19">
        <v>24.0</v>
      </c>
      <c r="N218" s="19">
        <v>3.1</v>
      </c>
      <c r="O218" s="19" t="s">
        <v>200</v>
      </c>
      <c r="P218" s="19" t="s">
        <v>178</v>
      </c>
      <c r="Q218" s="20">
        <f t="shared" si="4"/>
        <v>0.6666666667</v>
      </c>
      <c r="R218" s="20">
        <f t="shared" si="5"/>
        <v>0.8181818182</v>
      </c>
      <c r="S218" s="20">
        <f t="shared" si="6"/>
        <v>0.09090909091</v>
      </c>
      <c r="T218" s="20">
        <f t="shared" si="7"/>
        <v>0.625</v>
      </c>
      <c r="U218" s="20">
        <f>IF(B218="","",MIN(Q218/Targets!$B$2,1)*Targets!$D$2+MIN(G218/100/Targets!$B$3,1)*Targets!$D$3+MIN(T218/Targets!$B$4,1)*Targets!$D$4+MIN(R218/Targets!$B$5,1)*Targets!$D$5+MIN(N218/Targets!$B$6,1)*Targets!$D$6+MIN(Targets!$B$7/MAX(S218,0.0001),1)*Targets!$D$7)</f>
        <v>0.4830093542</v>
      </c>
    </row>
    <row r="219">
      <c r="A219" s="18">
        <v>46230.0</v>
      </c>
      <c r="B219" s="19" t="s">
        <v>129</v>
      </c>
      <c r="C219" s="19" t="s">
        <v>188</v>
      </c>
      <c r="D219" s="19" t="s">
        <v>121</v>
      </c>
      <c r="E219" s="14">
        <f t="shared" si="1"/>
        <v>15</v>
      </c>
      <c r="F219" s="19">
        <f t="shared" si="2"/>
        <v>12</v>
      </c>
      <c r="G219" s="20">
        <f t="shared" si="3"/>
        <v>0.8</v>
      </c>
      <c r="H219" s="19">
        <v>32.0</v>
      </c>
      <c r="I219" s="19">
        <v>40.0</v>
      </c>
      <c r="J219" s="19">
        <v>2.0</v>
      </c>
      <c r="K219" s="19">
        <v>5.5</v>
      </c>
      <c r="L219" s="19">
        <v>41.0</v>
      </c>
      <c r="M219" s="19">
        <v>50.0</v>
      </c>
      <c r="N219" s="19">
        <v>6.6</v>
      </c>
      <c r="O219" s="19" t="s">
        <v>143</v>
      </c>
      <c r="P219" s="19" t="s">
        <v>189</v>
      </c>
      <c r="Q219" s="20">
        <f t="shared" si="4"/>
        <v>0.8</v>
      </c>
      <c r="R219" s="20">
        <f t="shared" si="5"/>
        <v>0.8</v>
      </c>
      <c r="S219" s="20">
        <f t="shared" si="6"/>
        <v>0.05</v>
      </c>
      <c r="T219" s="20">
        <f t="shared" si="7"/>
        <v>0.82</v>
      </c>
      <c r="U219" s="20">
        <f>IF(B219="","",MIN(Q219/Targets!$B$2,1)*Targets!$D$2+MIN(G219/100/Targets!$B$3,1)*Targets!$D$3+MIN(T219/Targets!$B$4,1)*Targets!$D$4+MIN(R219/Targets!$B$5,1)*Targets!$D$5+MIN(N219/Targets!$B$6,1)*Targets!$D$6+MIN(Targets!$B$7/MAX(S219,0.0001),1)*Targets!$D$7)</f>
        <v>0.6377126149</v>
      </c>
    </row>
    <row r="220">
      <c r="A220" s="18">
        <v>46230.0</v>
      </c>
      <c r="B220" s="19" t="s">
        <v>132</v>
      </c>
      <c r="C220" s="19" t="s">
        <v>190</v>
      </c>
      <c r="D220" s="19" t="s">
        <v>121</v>
      </c>
      <c r="E220" s="14">
        <f t="shared" si="1"/>
        <v>10</v>
      </c>
      <c r="F220" s="19">
        <f t="shared" si="2"/>
        <v>6</v>
      </c>
      <c r="G220" s="20">
        <f t="shared" si="3"/>
        <v>0.6</v>
      </c>
      <c r="H220" s="19">
        <v>51.0</v>
      </c>
      <c r="I220" s="19">
        <v>54.0</v>
      </c>
      <c r="J220" s="19">
        <v>1.0</v>
      </c>
      <c r="K220" s="19">
        <v>2.3</v>
      </c>
      <c r="L220" s="19">
        <v>47.0</v>
      </c>
      <c r="M220" s="19">
        <v>56.0</v>
      </c>
      <c r="N220" s="19">
        <v>8.2</v>
      </c>
      <c r="O220" s="19" t="s">
        <v>143</v>
      </c>
      <c r="P220" s="19" t="s">
        <v>168</v>
      </c>
      <c r="Q220" s="20">
        <f t="shared" si="4"/>
        <v>0.6</v>
      </c>
      <c r="R220" s="20">
        <f t="shared" si="5"/>
        <v>0.9444444444</v>
      </c>
      <c r="S220" s="20">
        <f t="shared" si="6"/>
        <v>0.01851851852</v>
      </c>
      <c r="T220" s="20">
        <f t="shared" si="7"/>
        <v>0.8392857143</v>
      </c>
      <c r="U220" s="20">
        <f>IF(B220="","",MIN(Q220/Targets!$B$2,1)*Targets!$D$2+MIN(G220/100/Targets!$B$3,1)*Targets!$D$3+MIN(T220/Targets!$B$4,1)*Targets!$D$4+MIN(R220/Targets!$B$5,1)*Targets!$D$5+MIN(N220/Targets!$B$6,1)*Targets!$D$6+MIN(Targets!$B$7/MAX(S220,0.0001),1)*Targets!$D$7)</f>
        <v>0.6243370927</v>
      </c>
    </row>
    <row r="221">
      <c r="A221" s="18">
        <v>46230.0</v>
      </c>
      <c r="B221" s="19" t="s">
        <v>135</v>
      </c>
      <c r="C221" s="19" t="s">
        <v>169</v>
      </c>
      <c r="D221" s="19" t="s">
        <v>121</v>
      </c>
      <c r="E221" s="14">
        <f t="shared" si="1"/>
        <v>10</v>
      </c>
      <c r="F221" s="19">
        <f t="shared" si="2"/>
        <v>13</v>
      </c>
      <c r="G221" s="20">
        <f t="shared" si="3"/>
        <v>1.3</v>
      </c>
      <c r="H221" s="19">
        <v>46.0</v>
      </c>
      <c r="I221" s="19">
        <v>49.0</v>
      </c>
      <c r="J221" s="19">
        <v>2.0</v>
      </c>
      <c r="K221" s="19">
        <v>3.0</v>
      </c>
      <c r="L221" s="19">
        <v>50.0</v>
      </c>
      <c r="M221" s="19">
        <v>56.0</v>
      </c>
      <c r="N221" s="19">
        <v>7.5</v>
      </c>
      <c r="O221" s="19" t="s">
        <v>143</v>
      </c>
      <c r="P221" s="19" t="s">
        <v>168</v>
      </c>
      <c r="Q221" s="20">
        <f t="shared" si="4"/>
        <v>1.3</v>
      </c>
      <c r="R221" s="20">
        <f t="shared" si="5"/>
        <v>0.9387755102</v>
      </c>
      <c r="S221" s="20">
        <f t="shared" si="6"/>
        <v>0.04081632653</v>
      </c>
      <c r="T221" s="20">
        <f t="shared" si="7"/>
        <v>0.8928571429</v>
      </c>
      <c r="U221" s="20">
        <f>IF(B221="","",MIN(Q221/Targets!$B$2,1)*Targets!$D$2+MIN(G221/100/Targets!$B$3,1)*Targets!$D$3+MIN(T221/Targets!$B$4,1)*Targets!$D$4+MIN(R221/Targets!$B$5,1)*Targets!$D$5+MIN(N221/Targets!$B$6,1)*Targets!$D$6+MIN(Targets!$B$7/MAX(S221,0.0001),1)*Targets!$D$7)</f>
        <v>0.7013705693</v>
      </c>
    </row>
    <row r="222">
      <c r="A222" s="18">
        <v>46231.0</v>
      </c>
      <c r="B222" s="19" t="s">
        <v>10</v>
      </c>
      <c r="C222" s="19" t="s">
        <v>14</v>
      </c>
      <c r="D222" s="19" t="s">
        <v>121</v>
      </c>
      <c r="E222" s="14">
        <f t="shared" si="1"/>
        <v>6</v>
      </c>
      <c r="F222" s="19">
        <f t="shared" si="2"/>
        <v>9</v>
      </c>
      <c r="G222" s="20">
        <f t="shared" si="3"/>
        <v>1.5</v>
      </c>
      <c r="H222" s="19">
        <v>25.0</v>
      </c>
      <c r="I222" s="19">
        <v>27.0</v>
      </c>
      <c r="J222" s="19">
        <v>0.0</v>
      </c>
      <c r="K222" s="19">
        <v>4.2</v>
      </c>
      <c r="L222" s="19">
        <v>35.0</v>
      </c>
      <c r="M222" s="19">
        <v>44.0</v>
      </c>
      <c r="N222" s="19">
        <v>7.9</v>
      </c>
      <c r="O222" s="19" t="s">
        <v>143</v>
      </c>
      <c r="P222" s="19" t="s">
        <v>189</v>
      </c>
      <c r="Q222" s="20">
        <f t="shared" si="4"/>
        <v>1.5</v>
      </c>
      <c r="R222" s="20">
        <f t="shared" si="5"/>
        <v>0.9259259259</v>
      </c>
      <c r="S222" s="20">
        <f t="shared" si="6"/>
        <v>0</v>
      </c>
      <c r="T222" s="20">
        <f t="shared" si="7"/>
        <v>0.7954545455</v>
      </c>
      <c r="U222" s="20">
        <f>IF(B222="","",MIN(Q222/Targets!$B$2,1)*Targets!$D$2+MIN(G222/100/Targets!$B$3,1)*Targets!$D$3+MIN(T222/Targets!$B$4,1)*Targets!$D$4+MIN(R222/Targets!$B$5,1)*Targets!$D$5+MIN(N222/Targets!$B$6,1)*Targets!$D$6+MIN(Targets!$B$7/MAX(S222,0.0001),1)*Targets!$D$7)</f>
        <v>0.683774588</v>
      </c>
    </row>
    <row r="223">
      <c r="A223" s="18">
        <v>46231.0</v>
      </c>
      <c r="B223" s="19" t="s">
        <v>25</v>
      </c>
      <c r="C223" s="19" t="s">
        <v>167</v>
      </c>
      <c r="D223" s="19" t="s">
        <v>121</v>
      </c>
      <c r="E223" s="14">
        <f t="shared" si="1"/>
        <v>16</v>
      </c>
      <c r="F223" s="19">
        <f t="shared" si="2"/>
        <v>13</v>
      </c>
      <c r="G223" s="20">
        <f t="shared" si="3"/>
        <v>0.8125</v>
      </c>
      <c r="H223" s="19">
        <v>22.0</v>
      </c>
      <c r="I223" s="19">
        <v>29.0</v>
      </c>
      <c r="J223" s="19">
        <v>1.0</v>
      </c>
      <c r="K223" s="19">
        <v>6.0</v>
      </c>
      <c r="L223" s="19">
        <v>32.0</v>
      </c>
      <c r="M223" s="19">
        <v>40.0</v>
      </c>
      <c r="N223" s="19">
        <v>5.6</v>
      </c>
      <c r="O223" s="19" t="s">
        <v>143</v>
      </c>
      <c r="P223" s="19" t="s">
        <v>191</v>
      </c>
      <c r="Q223" s="20">
        <f t="shared" si="4"/>
        <v>0.8125</v>
      </c>
      <c r="R223" s="20">
        <f t="shared" si="5"/>
        <v>0.7586206897</v>
      </c>
      <c r="S223" s="20">
        <f t="shared" si="6"/>
        <v>0.03448275862</v>
      </c>
      <c r="T223" s="20">
        <f t="shared" si="7"/>
        <v>0.8</v>
      </c>
      <c r="U223" s="20">
        <f>IF(B223="","",MIN(Q223/Targets!$B$2,1)*Targets!$D$2+MIN(G223/100/Targets!$B$3,1)*Targets!$D$3+MIN(T223/Targets!$B$4,1)*Targets!$D$4+MIN(R223/Targets!$B$5,1)*Targets!$D$5+MIN(N223/Targets!$B$6,1)*Targets!$D$6+MIN(Targets!$B$7/MAX(S223,0.0001),1)*Targets!$D$7)</f>
        <v>0.6163794364</v>
      </c>
    </row>
    <row r="224">
      <c r="A224" s="18">
        <v>46231.0</v>
      </c>
      <c r="B224" s="19" t="s">
        <v>37</v>
      </c>
      <c r="C224" s="19" t="s">
        <v>169</v>
      </c>
      <c r="D224" s="19" t="s">
        <v>121</v>
      </c>
      <c r="E224" s="14">
        <f t="shared" si="1"/>
        <v>7</v>
      </c>
      <c r="F224" s="19">
        <f t="shared" si="2"/>
        <v>15</v>
      </c>
      <c r="G224" s="20">
        <f t="shared" si="3"/>
        <v>2.142857143</v>
      </c>
      <c r="H224" s="19">
        <v>37.0</v>
      </c>
      <c r="I224" s="19">
        <v>43.0</v>
      </c>
      <c r="J224" s="19">
        <v>2.0</v>
      </c>
      <c r="K224" s="19">
        <v>4.4</v>
      </c>
      <c r="L224" s="19">
        <v>47.0</v>
      </c>
      <c r="M224" s="19">
        <v>53.0</v>
      </c>
      <c r="N224" s="19">
        <v>8.0</v>
      </c>
      <c r="O224" s="19" t="s">
        <v>143</v>
      </c>
      <c r="P224" s="19" t="s">
        <v>168</v>
      </c>
      <c r="Q224" s="20">
        <f t="shared" si="4"/>
        <v>2.142857143</v>
      </c>
      <c r="R224" s="20">
        <f t="shared" si="5"/>
        <v>0.8604651163</v>
      </c>
      <c r="S224" s="20">
        <f t="shared" si="6"/>
        <v>0.04651162791</v>
      </c>
      <c r="T224" s="20">
        <f t="shared" si="7"/>
        <v>0.8867924528</v>
      </c>
      <c r="U224" s="20">
        <f>IF(B224="","",MIN(Q224/Targets!$B$2,1)*Targets!$D$2+MIN(G224/100/Targets!$B$3,1)*Targets!$D$3+MIN(T224/Targets!$B$4,1)*Targets!$D$4+MIN(R224/Targets!$B$5,1)*Targets!$D$5+MIN(N224/Targets!$B$6,1)*Targets!$D$6+MIN(Targets!$B$7/MAX(S224,0.0001),1)*Targets!$D$7)</f>
        <v>0.6908045124</v>
      </c>
    </row>
    <row r="225">
      <c r="A225" s="18">
        <v>46231.0</v>
      </c>
      <c r="B225" s="19" t="s">
        <v>42</v>
      </c>
      <c r="C225" s="19" t="s">
        <v>171</v>
      </c>
      <c r="D225" s="19" t="s">
        <v>121</v>
      </c>
      <c r="E225" s="14">
        <f t="shared" si="1"/>
        <v>10</v>
      </c>
      <c r="F225" s="19">
        <f t="shared" si="2"/>
        <v>10</v>
      </c>
      <c r="G225" s="20">
        <f t="shared" si="3"/>
        <v>1</v>
      </c>
      <c r="H225" s="19">
        <v>31.0</v>
      </c>
      <c r="I225" s="19">
        <v>34.0</v>
      </c>
      <c r="J225" s="19">
        <v>1.0</v>
      </c>
      <c r="K225" s="19">
        <v>2.6</v>
      </c>
      <c r="L225" s="19">
        <v>42.0</v>
      </c>
      <c r="M225" s="19">
        <v>47.0</v>
      </c>
      <c r="N225" s="19">
        <v>6.7</v>
      </c>
      <c r="O225" s="19" t="s">
        <v>143</v>
      </c>
      <c r="P225" s="19" t="s">
        <v>168</v>
      </c>
      <c r="Q225" s="20">
        <f t="shared" si="4"/>
        <v>1</v>
      </c>
      <c r="R225" s="20">
        <f t="shared" si="5"/>
        <v>0.9117647059</v>
      </c>
      <c r="S225" s="20">
        <f t="shared" si="6"/>
        <v>0.02941176471</v>
      </c>
      <c r="T225" s="20">
        <f t="shared" si="7"/>
        <v>0.8936170213</v>
      </c>
      <c r="U225" s="20">
        <f>IF(B225="","",MIN(Q225/Targets!$B$2,1)*Targets!$D$2+MIN(G225/100/Targets!$B$3,1)*Targets!$D$3+MIN(T225/Targets!$B$4,1)*Targets!$D$4+MIN(R225/Targets!$B$5,1)*Targets!$D$5+MIN(N225/Targets!$B$6,1)*Targets!$D$6+MIN(Targets!$B$7/MAX(S225,0.0001),1)*Targets!$D$7)</f>
        <v>0.6919466376</v>
      </c>
    </row>
    <row r="226">
      <c r="A226" s="18">
        <v>46231.0</v>
      </c>
      <c r="B226" s="19" t="s">
        <v>46</v>
      </c>
      <c r="C226" s="19" t="s">
        <v>179</v>
      </c>
      <c r="D226" s="19" t="s">
        <v>121</v>
      </c>
      <c r="E226" s="14">
        <f t="shared" si="1"/>
        <v>12</v>
      </c>
      <c r="F226" s="19">
        <f t="shared" si="2"/>
        <v>7</v>
      </c>
      <c r="G226" s="20">
        <f t="shared" si="3"/>
        <v>0.5833333333</v>
      </c>
      <c r="H226" s="19">
        <v>41.0</v>
      </c>
      <c r="I226" s="19">
        <v>45.0</v>
      </c>
      <c r="J226" s="19">
        <v>2.0</v>
      </c>
      <c r="K226" s="19">
        <v>4.1</v>
      </c>
      <c r="L226" s="19">
        <v>50.0</v>
      </c>
      <c r="M226" s="19">
        <v>57.0</v>
      </c>
      <c r="N226" s="19">
        <v>8.0</v>
      </c>
      <c r="O226" s="19" t="s">
        <v>143</v>
      </c>
      <c r="P226" s="19" t="s">
        <v>168</v>
      </c>
      <c r="Q226" s="20">
        <f t="shared" si="4"/>
        <v>0.5833333333</v>
      </c>
      <c r="R226" s="20">
        <f t="shared" si="5"/>
        <v>0.9111111111</v>
      </c>
      <c r="S226" s="20">
        <f t="shared" si="6"/>
        <v>0.04444444444</v>
      </c>
      <c r="T226" s="20">
        <f t="shared" si="7"/>
        <v>0.8771929825</v>
      </c>
      <c r="U226" s="20">
        <f>IF(B226="","",MIN(Q226/Targets!$B$2,1)*Targets!$D$2+MIN(G226/100/Targets!$B$3,1)*Targets!$D$3+MIN(T226/Targets!$B$4,1)*Targets!$D$4+MIN(R226/Targets!$B$5,1)*Targets!$D$5+MIN(N226/Targets!$B$6,1)*Targets!$D$6+MIN(Targets!$B$7/MAX(S226,0.0001),1)*Targets!$D$7)</f>
        <v>0.6216325536</v>
      </c>
    </row>
    <row r="227">
      <c r="A227" s="18">
        <v>46231.0</v>
      </c>
      <c r="B227" s="19" t="s">
        <v>53</v>
      </c>
      <c r="C227" s="19" t="s">
        <v>14</v>
      </c>
      <c r="D227" s="19" t="s">
        <v>121</v>
      </c>
      <c r="E227" s="14">
        <f t="shared" si="1"/>
        <v>8</v>
      </c>
      <c r="F227" s="19">
        <f t="shared" si="2"/>
        <v>14</v>
      </c>
      <c r="G227" s="20">
        <f t="shared" si="3"/>
        <v>1.75</v>
      </c>
      <c r="H227" s="19">
        <v>36.0</v>
      </c>
      <c r="I227" s="19">
        <v>39.0</v>
      </c>
      <c r="J227" s="19">
        <v>2.0</v>
      </c>
      <c r="K227" s="19">
        <v>4.0</v>
      </c>
      <c r="L227" s="19">
        <v>38.0</v>
      </c>
      <c r="M227" s="19">
        <v>44.0</v>
      </c>
      <c r="N227" s="19">
        <v>7.6</v>
      </c>
      <c r="O227" s="19" t="s">
        <v>143</v>
      </c>
      <c r="P227" s="19" t="s">
        <v>186</v>
      </c>
      <c r="Q227" s="20">
        <f t="shared" si="4"/>
        <v>1.75</v>
      </c>
      <c r="R227" s="20">
        <f t="shared" si="5"/>
        <v>0.9230769231</v>
      </c>
      <c r="S227" s="20">
        <f t="shared" si="6"/>
        <v>0.05128205128</v>
      </c>
      <c r="T227" s="20">
        <f t="shared" si="7"/>
        <v>0.8636363636</v>
      </c>
      <c r="U227" s="20">
        <f>IF(B227="","",MIN(Q227/Targets!$B$2,1)*Targets!$D$2+MIN(G227/100/Targets!$B$3,1)*Targets!$D$3+MIN(T227/Targets!$B$4,1)*Targets!$D$4+MIN(R227/Targets!$B$5,1)*Targets!$D$5+MIN(N227/Targets!$B$6,1)*Targets!$D$6+MIN(Targets!$B$7/MAX(S227,0.0001),1)*Targets!$D$7)</f>
        <v>0.6930217151</v>
      </c>
    </row>
    <row r="228">
      <c r="A228" s="18">
        <v>46231.0</v>
      </c>
      <c r="B228" s="19" t="s">
        <v>65</v>
      </c>
      <c r="C228" s="19" t="s">
        <v>167</v>
      </c>
      <c r="D228" s="19" t="s">
        <v>121</v>
      </c>
      <c r="E228" s="14">
        <f t="shared" si="1"/>
        <v>11</v>
      </c>
      <c r="F228" s="19">
        <f t="shared" si="2"/>
        <v>6</v>
      </c>
      <c r="G228" s="20">
        <f t="shared" si="3"/>
        <v>0.5454545455</v>
      </c>
      <c r="H228" s="19">
        <v>38.0</v>
      </c>
      <c r="I228" s="19">
        <v>43.0</v>
      </c>
      <c r="J228" s="19">
        <v>3.0</v>
      </c>
      <c r="K228" s="19">
        <v>3.4</v>
      </c>
      <c r="L228" s="19">
        <v>44.0</v>
      </c>
      <c r="M228" s="19">
        <v>52.0</v>
      </c>
      <c r="N228" s="19">
        <v>7.7</v>
      </c>
      <c r="O228" s="19" t="s">
        <v>143</v>
      </c>
      <c r="P228" s="19" t="s">
        <v>191</v>
      </c>
      <c r="Q228" s="20">
        <f t="shared" si="4"/>
        <v>0.5454545455</v>
      </c>
      <c r="R228" s="20">
        <f t="shared" si="5"/>
        <v>0.8837209302</v>
      </c>
      <c r="S228" s="20">
        <f t="shared" si="6"/>
        <v>0.06976744186</v>
      </c>
      <c r="T228" s="20">
        <f t="shared" si="7"/>
        <v>0.8461538462</v>
      </c>
      <c r="U228" s="20">
        <f>IF(B228="","",MIN(Q228/Targets!$B$2,1)*Targets!$D$2+MIN(G228/100/Targets!$B$3,1)*Targets!$D$3+MIN(T228/Targets!$B$4,1)*Targets!$D$4+MIN(R228/Targets!$B$5,1)*Targets!$D$5+MIN(N228/Targets!$B$6,1)*Targets!$D$6+MIN(Targets!$B$7/MAX(S228,0.0001),1)*Targets!$D$7)</f>
        <v>0.5752574944</v>
      </c>
    </row>
    <row r="229">
      <c r="A229" s="18">
        <v>46231.0</v>
      </c>
      <c r="B229" s="19" t="s">
        <v>73</v>
      </c>
      <c r="C229" s="19" t="s">
        <v>169</v>
      </c>
      <c r="D229" s="19" t="s">
        <v>121</v>
      </c>
      <c r="E229" s="14">
        <f t="shared" si="1"/>
        <v>7</v>
      </c>
      <c r="F229" s="19">
        <f t="shared" si="2"/>
        <v>11</v>
      </c>
      <c r="G229" s="20">
        <f t="shared" si="3"/>
        <v>1.571428571</v>
      </c>
      <c r="H229" s="19">
        <v>35.0</v>
      </c>
      <c r="I229" s="19">
        <v>37.0</v>
      </c>
      <c r="J229" s="19">
        <v>2.0</v>
      </c>
      <c r="K229" s="19">
        <v>2.4</v>
      </c>
      <c r="L229" s="19">
        <v>47.0</v>
      </c>
      <c r="M229" s="19">
        <v>50.0</v>
      </c>
      <c r="N229" s="19">
        <v>7.7</v>
      </c>
      <c r="O229" s="19" t="s">
        <v>143</v>
      </c>
      <c r="P229" s="19" t="s">
        <v>178</v>
      </c>
      <c r="Q229" s="20">
        <f t="shared" si="4"/>
        <v>1.571428571</v>
      </c>
      <c r="R229" s="20">
        <f t="shared" si="5"/>
        <v>0.9459459459</v>
      </c>
      <c r="S229" s="20">
        <f t="shared" si="6"/>
        <v>0.05405405405</v>
      </c>
      <c r="T229" s="20">
        <f t="shared" si="7"/>
        <v>0.94</v>
      </c>
      <c r="U229" s="20">
        <f>IF(B229="","",MIN(Q229/Targets!$B$2,1)*Targets!$D$2+MIN(G229/100/Targets!$B$3,1)*Targets!$D$3+MIN(T229/Targets!$B$4,1)*Targets!$D$4+MIN(R229/Targets!$B$5,1)*Targets!$D$5+MIN(N229/Targets!$B$6,1)*Targets!$D$6+MIN(Targets!$B$7/MAX(S229,0.0001),1)*Targets!$D$7)</f>
        <v>0.6970979814</v>
      </c>
    </row>
    <row r="230">
      <c r="A230" s="18">
        <v>46231.0</v>
      </c>
      <c r="B230" s="19" t="s">
        <v>78</v>
      </c>
      <c r="C230" s="19" t="s">
        <v>171</v>
      </c>
      <c r="D230" s="19" t="s">
        <v>121</v>
      </c>
      <c r="E230" s="14">
        <f t="shared" si="1"/>
        <v>9</v>
      </c>
      <c r="F230" s="19">
        <f t="shared" si="2"/>
        <v>12</v>
      </c>
      <c r="G230" s="20">
        <f t="shared" si="3"/>
        <v>1.333333333</v>
      </c>
      <c r="H230" s="19">
        <v>40.0</v>
      </c>
      <c r="I230" s="19">
        <v>41.0</v>
      </c>
      <c r="J230" s="19">
        <v>2.0</v>
      </c>
      <c r="K230" s="19">
        <v>2.6</v>
      </c>
      <c r="L230" s="19">
        <v>57.0</v>
      </c>
      <c r="M230" s="19">
        <v>60.0</v>
      </c>
      <c r="N230" s="19">
        <v>7.4</v>
      </c>
      <c r="O230" s="19" t="s">
        <v>143</v>
      </c>
      <c r="P230" s="19" t="s">
        <v>191</v>
      </c>
      <c r="Q230" s="20">
        <f t="shared" si="4"/>
        <v>1.333333333</v>
      </c>
      <c r="R230" s="20">
        <f t="shared" si="5"/>
        <v>0.9756097561</v>
      </c>
      <c r="S230" s="20">
        <f t="shared" si="6"/>
        <v>0.0487804878</v>
      </c>
      <c r="T230" s="20">
        <f t="shared" si="7"/>
        <v>0.95</v>
      </c>
      <c r="U230" s="20">
        <f>IF(B230="","",MIN(Q230/Targets!$B$2,1)*Targets!$D$2+MIN(G230/100/Targets!$B$3,1)*Targets!$D$3+MIN(T230/Targets!$B$4,1)*Targets!$D$4+MIN(R230/Targets!$B$5,1)*Targets!$D$5+MIN(N230/Targets!$B$6,1)*Targets!$D$6+MIN(Targets!$B$7/MAX(S230,0.0001),1)*Targets!$D$7)</f>
        <v>0.7044444444</v>
      </c>
    </row>
    <row r="231">
      <c r="A231" s="18">
        <v>46231.0</v>
      </c>
      <c r="B231" s="19" t="s">
        <v>84</v>
      </c>
      <c r="C231" s="19" t="s">
        <v>179</v>
      </c>
      <c r="D231" s="19" t="s">
        <v>121</v>
      </c>
      <c r="E231" s="14">
        <f t="shared" si="1"/>
        <v>13</v>
      </c>
      <c r="F231" s="19">
        <f t="shared" si="2"/>
        <v>14</v>
      </c>
      <c r="G231" s="20">
        <f t="shared" si="3"/>
        <v>1.076923077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 t="s">
        <v>205</v>
      </c>
      <c r="P231" s="19" t="s">
        <v>205</v>
      </c>
      <c r="Q231" s="20">
        <f t="shared" si="4"/>
        <v>1.076923077</v>
      </c>
      <c r="R231" s="20">
        <f t="shared" si="5"/>
        <v>0</v>
      </c>
      <c r="S231" s="20">
        <f t="shared" si="6"/>
        <v>0</v>
      </c>
      <c r="T231" s="20">
        <f t="shared" si="7"/>
        <v>0</v>
      </c>
      <c r="U231" s="20">
        <f>IF(B231="","",MIN(Q231/Targets!$B$2,1)*Targets!$D$2+MIN(G231/100/Targets!$B$3,1)*Targets!$D$3+MIN(T231/Targets!$B$4,1)*Targets!$D$4+MIN(R231/Targets!$B$5,1)*Targets!$D$5+MIN(N231/Targets!$B$6,1)*Targets!$D$6+MIN(Targets!$B$7/MAX(S231,0.0001),1)*Targets!$D$7)</f>
        <v>0.3035897436</v>
      </c>
    </row>
    <row r="232">
      <c r="A232" s="18">
        <v>46231.0</v>
      </c>
      <c r="B232" s="19" t="s">
        <v>91</v>
      </c>
      <c r="C232" s="19" t="s">
        <v>188</v>
      </c>
      <c r="D232" s="19" t="s">
        <v>121</v>
      </c>
      <c r="E232" s="14">
        <f t="shared" si="1"/>
        <v>10</v>
      </c>
      <c r="F232" s="19">
        <f t="shared" si="2"/>
        <v>12</v>
      </c>
      <c r="G232" s="20">
        <f t="shared" si="3"/>
        <v>1.2</v>
      </c>
      <c r="H232" s="19">
        <v>32.0</v>
      </c>
      <c r="I232" s="19">
        <v>35.0</v>
      </c>
      <c r="J232" s="19">
        <v>2.0</v>
      </c>
      <c r="K232" s="19">
        <v>3.0</v>
      </c>
      <c r="L232" s="19">
        <v>48.0</v>
      </c>
      <c r="M232" s="19">
        <v>55.0</v>
      </c>
      <c r="N232" s="19">
        <v>7.4</v>
      </c>
      <c r="O232" s="19" t="s">
        <v>143</v>
      </c>
      <c r="P232" s="19" t="s">
        <v>168</v>
      </c>
      <c r="Q232" s="20">
        <f t="shared" si="4"/>
        <v>1.2</v>
      </c>
      <c r="R232" s="20">
        <f t="shared" si="5"/>
        <v>0.9142857143</v>
      </c>
      <c r="S232" s="20">
        <f t="shared" si="6"/>
        <v>0.05714285714</v>
      </c>
      <c r="T232" s="20">
        <f t="shared" si="7"/>
        <v>0.8727272727</v>
      </c>
      <c r="U232" s="20">
        <f>IF(B232="","",MIN(Q232/Targets!$B$2,1)*Targets!$D$2+MIN(G232/100/Targets!$B$3,1)*Targets!$D$3+MIN(T232/Targets!$B$4,1)*Targets!$D$4+MIN(R232/Targets!$B$5,1)*Targets!$D$5+MIN(N232/Targets!$B$6,1)*Targets!$D$6+MIN(Targets!$B$7/MAX(S232,0.0001),1)*Targets!$D$7)</f>
        <v>0.6813154477</v>
      </c>
    </row>
    <row r="233">
      <c r="A233" s="18">
        <v>46231.0</v>
      </c>
      <c r="B233" s="19" t="s">
        <v>100</v>
      </c>
      <c r="C233" s="19" t="s">
        <v>190</v>
      </c>
      <c r="D233" s="19" t="s">
        <v>121</v>
      </c>
      <c r="E233" s="14">
        <f t="shared" si="1"/>
        <v>15</v>
      </c>
      <c r="F233" s="19">
        <f t="shared" si="2"/>
        <v>15</v>
      </c>
      <c r="G233" s="20">
        <f t="shared" si="3"/>
        <v>1</v>
      </c>
      <c r="H233" s="19">
        <v>36.0</v>
      </c>
      <c r="I233" s="19">
        <v>38.0</v>
      </c>
      <c r="J233" s="19">
        <v>3.0</v>
      </c>
      <c r="K233" s="19">
        <v>3.2</v>
      </c>
      <c r="L233" s="19">
        <v>50.0</v>
      </c>
      <c r="M233" s="19">
        <v>57.0</v>
      </c>
      <c r="N233" s="19">
        <v>8.0</v>
      </c>
      <c r="O233" s="19" t="s">
        <v>143</v>
      </c>
      <c r="P233" s="19" t="s">
        <v>144</v>
      </c>
      <c r="Q233" s="20">
        <f t="shared" si="4"/>
        <v>1</v>
      </c>
      <c r="R233" s="20">
        <f t="shared" si="5"/>
        <v>0.9473684211</v>
      </c>
      <c r="S233" s="20">
        <f t="shared" si="6"/>
        <v>0.07894736842</v>
      </c>
      <c r="T233" s="20">
        <f t="shared" si="7"/>
        <v>0.8771929825</v>
      </c>
      <c r="U233" s="20">
        <f>IF(B233="","",MIN(Q233/Targets!$B$2,1)*Targets!$D$2+MIN(G233/100/Targets!$B$3,1)*Targets!$D$3+MIN(T233/Targets!$B$4,1)*Targets!$D$4+MIN(R233/Targets!$B$5,1)*Targets!$D$5+MIN(N233/Targets!$B$6,1)*Targets!$D$6+MIN(Targets!$B$7/MAX(S233,0.0001),1)*Targets!$D$7)</f>
        <v>0.6624499846</v>
      </c>
    </row>
    <row r="234">
      <c r="A234" s="18">
        <v>46231.0</v>
      </c>
      <c r="B234" s="19" t="s">
        <v>109</v>
      </c>
      <c r="C234" s="19" t="s">
        <v>14</v>
      </c>
      <c r="D234" s="19" t="s">
        <v>121</v>
      </c>
      <c r="E234" s="14">
        <f t="shared" si="1"/>
        <v>14</v>
      </c>
      <c r="F234" s="19">
        <f t="shared" si="2"/>
        <v>10</v>
      </c>
      <c r="G234" s="20">
        <f t="shared" si="3"/>
        <v>0.7142857143</v>
      </c>
      <c r="H234" s="19">
        <v>56.0</v>
      </c>
      <c r="I234" s="19">
        <v>59.0</v>
      </c>
      <c r="J234" s="19">
        <v>3.0</v>
      </c>
      <c r="K234" s="19">
        <v>2.7</v>
      </c>
      <c r="L234" s="19">
        <v>54.0</v>
      </c>
      <c r="M234" s="19">
        <v>63.0</v>
      </c>
      <c r="N234" s="19">
        <v>8.1</v>
      </c>
      <c r="O234" s="19" t="s">
        <v>143</v>
      </c>
      <c r="P234" s="19" t="s">
        <v>186</v>
      </c>
      <c r="Q234" s="20">
        <f t="shared" si="4"/>
        <v>0.7142857143</v>
      </c>
      <c r="R234" s="20">
        <f t="shared" si="5"/>
        <v>0.9491525424</v>
      </c>
      <c r="S234" s="20">
        <f t="shared" si="6"/>
        <v>0.05084745763</v>
      </c>
      <c r="T234" s="20">
        <f t="shared" si="7"/>
        <v>0.8571428571</v>
      </c>
      <c r="U234" s="20">
        <f>IF(B234="","",MIN(Q234/Targets!$B$2,1)*Targets!$D$2+MIN(G234/100/Targets!$B$3,1)*Targets!$D$3+MIN(T234/Targets!$B$4,1)*Targets!$D$4+MIN(R234/Targets!$B$5,1)*Targets!$D$5+MIN(N234/Targets!$B$6,1)*Targets!$D$6+MIN(Targets!$B$7/MAX(S234,0.0001),1)*Targets!$D$7)</f>
        <v>0.6521677782</v>
      </c>
    </row>
    <row r="235">
      <c r="A235" s="18">
        <v>46231.0</v>
      </c>
      <c r="B235" s="19" t="s">
        <v>115</v>
      </c>
      <c r="C235" s="19" t="s">
        <v>167</v>
      </c>
      <c r="D235" s="19" t="s">
        <v>121</v>
      </c>
      <c r="E235" s="14">
        <f t="shared" si="1"/>
        <v>12</v>
      </c>
      <c r="F235" s="19">
        <f t="shared" si="2"/>
        <v>12</v>
      </c>
      <c r="G235" s="20">
        <f t="shared" si="3"/>
        <v>1</v>
      </c>
      <c r="H235" s="19">
        <v>0.0</v>
      </c>
      <c r="I235" s="19">
        <v>0.0</v>
      </c>
      <c r="J235" s="19">
        <v>0.0</v>
      </c>
      <c r="K235" s="19">
        <v>0.0</v>
      </c>
      <c r="L235" s="19">
        <v>0.0</v>
      </c>
      <c r="M235" s="19">
        <v>0.0</v>
      </c>
      <c r="N235" s="19">
        <v>0.0</v>
      </c>
      <c r="O235" s="19" t="s">
        <v>205</v>
      </c>
      <c r="P235" s="19" t="s">
        <v>205</v>
      </c>
      <c r="Q235" s="20">
        <f t="shared" si="4"/>
        <v>1</v>
      </c>
      <c r="R235" s="20">
        <f t="shared" si="5"/>
        <v>0</v>
      </c>
      <c r="S235" s="20">
        <f t="shared" si="6"/>
        <v>0</v>
      </c>
      <c r="T235" s="20">
        <f t="shared" si="7"/>
        <v>0</v>
      </c>
      <c r="U235" s="20">
        <f>IF(B235="","",MIN(Q235/Targets!$B$2,1)*Targets!$D$2+MIN(G235/100/Targets!$B$3,1)*Targets!$D$3+MIN(T235/Targets!$B$4,1)*Targets!$D$4+MIN(R235/Targets!$B$5,1)*Targets!$D$5+MIN(N235/Targets!$B$6,1)*Targets!$D$6+MIN(Targets!$B$7/MAX(S235,0.0001),1)*Targets!$D$7)</f>
        <v>0.3033333333</v>
      </c>
    </row>
    <row r="236">
      <c r="A236" s="18">
        <v>46231.0</v>
      </c>
      <c r="B236" s="19" t="s">
        <v>118</v>
      </c>
      <c r="C236" s="19" t="s">
        <v>169</v>
      </c>
      <c r="D236" s="19" t="s">
        <v>121</v>
      </c>
      <c r="E236" s="14">
        <f t="shared" si="1"/>
        <v>6</v>
      </c>
      <c r="F236" s="19">
        <f t="shared" si="2"/>
        <v>11</v>
      </c>
      <c r="G236" s="20">
        <f t="shared" si="3"/>
        <v>1.833333333</v>
      </c>
      <c r="H236" s="19">
        <v>43.0</v>
      </c>
      <c r="I236" s="19">
        <v>44.0</v>
      </c>
      <c r="J236" s="19">
        <v>2.0</v>
      </c>
      <c r="K236" s="19">
        <v>2.5</v>
      </c>
      <c r="L236" s="19">
        <v>59.0</v>
      </c>
      <c r="M236" s="19">
        <v>65.0</v>
      </c>
      <c r="N236" s="19">
        <v>7.5</v>
      </c>
      <c r="O236" s="19" t="s">
        <v>143</v>
      </c>
      <c r="P236" s="19" t="s">
        <v>189</v>
      </c>
      <c r="Q236" s="20">
        <f t="shared" si="4"/>
        <v>1.833333333</v>
      </c>
      <c r="R236" s="20">
        <f t="shared" si="5"/>
        <v>0.9772727273</v>
      </c>
      <c r="S236" s="20">
        <f t="shared" si="6"/>
        <v>0.04545454545</v>
      </c>
      <c r="T236" s="20">
        <f t="shared" si="7"/>
        <v>0.9076923077</v>
      </c>
      <c r="U236" s="20">
        <f>IF(B236="","",MIN(Q236/Targets!$B$2,1)*Targets!$D$2+MIN(G236/100/Targets!$B$3,1)*Targets!$D$3+MIN(T236/Targets!$B$4,1)*Targets!$D$4+MIN(R236/Targets!$B$5,1)*Targets!$D$5+MIN(N236/Targets!$B$6,1)*Targets!$D$6+MIN(Targets!$B$7/MAX(S236,0.0001),1)*Targets!$D$7)</f>
        <v>0.7061111111</v>
      </c>
    </row>
    <row r="237">
      <c r="A237" s="18">
        <v>46231.0</v>
      </c>
      <c r="B237" s="19" t="s">
        <v>123</v>
      </c>
      <c r="C237" s="19" t="s">
        <v>171</v>
      </c>
      <c r="D237" s="19" t="s">
        <v>121</v>
      </c>
      <c r="E237" s="14">
        <f t="shared" si="1"/>
        <v>12</v>
      </c>
      <c r="F237" s="19">
        <f t="shared" si="2"/>
        <v>15</v>
      </c>
      <c r="G237" s="20">
        <f t="shared" si="3"/>
        <v>1.25</v>
      </c>
      <c r="H237" s="19">
        <v>37.0</v>
      </c>
      <c r="I237" s="19">
        <v>39.0</v>
      </c>
      <c r="J237" s="19">
        <v>1.0</v>
      </c>
      <c r="K237" s="19">
        <v>1.8</v>
      </c>
      <c r="L237" s="19">
        <v>48.0</v>
      </c>
      <c r="M237" s="19">
        <v>52.0</v>
      </c>
      <c r="N237" s="19">
        <v>7.5</v>
      </c>
      <c r="O237" s="19" t="s">
        <v>143</v>
      </c>
      <c r="P237" s="19" t="s">
        <v>178</v>
      </c>
      <c r="Q237" s="20">
        <f t="shared" si="4"/>
        <v>1.25</v>
      </c>
      <c r="R237" s="20">
        <f t="shared" si="5"/>
        <v>0.9487179487</v>
      </c>
      <c r="S237" s="20">
        <f t="shared" si="6"/>
        <v>0.02564102564</v>
      </c>
      <c r="T237" s="20">
        <f t="shared" si="7"/>
        <v>0.9230769231</v>
      </c>
      <c r="U237" s="20">
        <f>IF(B237="","",MIN(Q237/Targets!$B$2,1)*Targets!$D$2+MIN(G237/100/Targets!$B$3,1)*Targets!$D$3+MIN(T237/Targets!$B$4,1)*Targets!$D$4+MIN(R237/Targets!$B$5,1)*Targets!$D$5+MIN(N237/Targets!$B$6,1)*Targets!$D$6+MIN(Targets!$B$7/MAX(S237,0.0001),1)*Targets!$D$7)</f>
        <v>0.7039642375</v>
      </c>
    </row>
    <row r="238">
      <c r="A238" s="18">
        <v>46231.0</v>
      </c>
      <c r="B238" s="19" t="s">
        <v>126</v>
      </c>
      <c r="C238" s="19" t="s">
        <v>179</v>
      </c>
      <c r="D238" s="19" t="s">
        <v>121</v>
      </c>
      <c r="E238" s="14">
        <f t="shared" si="1"/>
        <v>13</v>
      </c>
      <c r="F238" s="19">
        <f t="shared" si="2"/>
        <v>10</v>
      </c>
      <c r="G238" s="20">
        <f t="shared" si="3"/>
        <v>0.7692307692</v>
      </c>
      <c r="H238" s="19">
        <v>38.0</v>
      </c>
      <c r="I238" s="19">
        <v>39.0</v>
      </c>
      <c r="J238" s="19">
        <v>1.0</v>
      </c>
      <c r="K238" s="19">
        <v>2.5</v>
      </c>
      <c r="L238" s="19">
        <v>40.0</v>
      </c>
      <c r="M238" s="19">
        <v>46.0</v>
      </c>
      <c r="N238" s="19">
        <v>8.3</v>
      </c>
      <c r="O238" s="19" t="s">
        <v>143</v>
      </c>
      <c r="P238" s="19" t="s">
        <v>168</v>
      </c>
      <c r="Q238" s="20">
        <f t="shared" si="4"/>
        <v>0.7692307692</v>
      </c>
      <c r="R238" s="20">
        <f t="shared" si="5"/>
        <v>0.9743589744</v>
      </c>
      <c r="S238" s="20">
        <f t="shared" si="6"/>
        <v>0.02564102564</v>
      </c>
      <c r="T238" s="20">
        <f t="shared" si="7"/>
        <v>0.8695652174</v>
      </c>
      <c r="U238" s="20">
        <f>IF(B238="","",MIN(Q238/Targets!$B$2,1)*Targets!$D$2+MIN(G238/100/Targets!$B$3,1)*Targets!$D$3+MIN(T238/Targets!$B$4,1)*Targets!$D$4+MIN(R238/Targets!$B$5,1)*Targets!$D$5+MIN(N238/Targets!$B$6,1)*Targets!$D$6+MIN(Targets!$B$7/MAX(S238,0.0001),1)*Targets!$D$7)</f>
        <v>0.6684318097</v>
      </c>
    </row>
    <row r="239">
      <c r="A239" s="18">
        <v>46231.0</v>
      </c>
      <c r="B239" s="19" t="s">
        <v>129</v>
      </c>
      <c r="C239" s="19" t="s">
        <v>188</v>
      </c>
      <c r="D239" s="19" t="s">
        <v>121</v>
      </c>
      <c r="E239" s="14">
        <f t="shared" si="1"/>
        <v>13</v>
      </c>
      <c r="F239" s="19">
        <f t="shared" si="2"/>
        <v>14</v>
      </c>
      <c r="G239" s="20">
        <f t="shared" si="3"/>
        <v>1.076923077</v>
      </c>
      <c r="H239" s="19">
        <v>50.0</v>
      </c>
      <c r="I239" s="19">
        <v>51.0</v>
      </c>
      <c r="J239" s="19">
        <v>1.0</v>
      </c>
      <c r="K239" s="19">
        <v>2.5</v>
      </c>
      <c r="L239" s="19">
        <v>50.0</v>
      </c>
      <c r="M239" s="19">
        <v>53.0</v>
      </c>
      <c r="N239" s="19">
        <v>7.7</v>
      </c>
      <c r="O239" s="19" t="s">
        <v>143</v>
      </c>
      <c r="P239" s="19" t="s">
        <v>168</v>
      </c>
      <c r="Q239" s="20">
        <f t="shared" si="4"/>
        <v>1.076923077</v>
      </c>
      <c r="R239" s="20">
        <f t="shared" si="5"/>
        <v>0.9803921569</v>
      </c>
      <c r="S239" s="20">
        <f t="shared" si="6"/>
        <v>0.01960784314</v>
      </c>
      <c r="T239" s="20">
        <f t="shared" si="7"/>
        <v>0.9433962264</v>
      </c>
      <c r="U239" s="20">
        <f>IF(B239="","",MIN(Q239/Targets!$B$2,1)*Targets!$D$2+MIN(G239/100/Targets!$B$3,1)*Targets!$D$3+MIN(T239/Targets!$B$4,1)*Targets!$D$4+MIN(R239/Targets!$B$5,1)*Targets!$D$5+MIN(N239/Targets!$B$6,1)*Targets!$D$6+MIN(Targets!$B$7/MAX(S239,0.0001),1)*Targets!$D$7)</f>
        <v>0.7035897436</v>
      </c>
    </row>
    <row r="240">
      <c r="A240" s="18">
        <v>46231.0</v>
      </c>
      <c r="B240" s="19" t="s">
        <v>132</v>
      </c>
      <c r="C240" s="19" t="s">
        <v>190</v>
      </c>
      <c r="D240" s="19" t="s">
        <v>121</v>
      </c>
      <c r="E240" s="14">
        <f t="shared" si="1"/>
        <v>16</v>
      </c>
      <c r="F240" s="19">
        <f t="shared" si="2"/>
        <v>6</v>
      </c>
      <c r="G240" s="20">
        <f t="shared" si="3"/>
        <v>0.375</v>
      </c>
      <c r="H240" s="19">
        <v>33.0</v>
      </c>
      <c r="I240" s="19">
        <v>38.0</v>
      </c>
      <c r="J240" s="19">
        <v>3.0</v>
      </c>
      <c r="K240" s="19">
        <v>2.9</v>
      </c>
      <c r="L240" s="19">
        <v>48.0</v>
      </c>
      <c r="M240" s="19">
        <v>51.0</v>
      </c>
      <c r="N240" s="19">
        <v>7.7</v>
      </c>
      <c r="O240" s="19" t="s">
        <v>143</v>
      </c>
      <c r="P240" s="19" t="s">
        <v>186</v>
      </c>
      <c r="Q240" s="20">
        <f t="shared" si="4"/>
        <v>0.375</v>
      </c>
      <c r="R240" s="20">
        <f t="shared" si="5"/>
        <v>0.8684210526</v>
      </c>
      <c r="S240" s="20">
        <f t="shared" si="6"/>
        <v>0.07894736842</v>
      </c>
      <c r="T240" s="20">
        <f t="shared" si="7"/>
        <v>0.9411764706</v>
      </c>
      <c r="U240" s="20">
        <f>IF(B240="","",MIN(Q240/Targets!$B$2,1)*Targets!$D$2+MIN(G240/100/Targets!$B$3,1)*Targets!$D$3+MIN(T240/Targets!$B$4,1)*Targets!$D$4+MIN(R240/Targets!$B$5,1)*Targets!$D$5+MIN(N240/Targets!$B$6,1)*Targets!$D$6+MIN(Targets!$B$7/MAX(S240,0.0001),1)*Targets!$D$7)</f>
        <v>0.5350357802</v>
      </c>
    </row>
    <row r="241">
      <c r="A241" s="18">
        <v>46231.0</v>
      </c>
      <c r="B241" s="19" t="s">
        <v>135</v>
      </c>
      <c r="C241" s="19" t="s">
        <v>169</v>
      </c>
      <c r="D241" s="19" t="s">
        <v>121</v>
      </c>
      <c r="E241" s="14">
        <f t="shared" si="1"/>
        <v>15</v>
      </c>
      <c r="F241" s="19">
        <f t="shared" si="2"/>
        <v>10</v>
      </c>
      <c r="G241" s="20">
        <f t="shared" si="3"/>
        <v>0.6666666667</v>
      </c>
      <c r="H241" s="19">
        <v>24.0</v>
      </c>
      <c r="I241" s="19">
        <v>27.0</v>
      </c>
      <c r="J241" s="19">
        <v>2.0</v>
      </c>
      <c r="K241" s="19">
        <v>6.3</v>
      </c>
      <c r="L241" s="19">
        <v>32.0</v>
      </c>
      <c r="M241" s="19">
        <v>38.0</v>
      </c>
      <c r="N241" s="19">
        <v>5.2</v>
      </c>
      <c r="O241" s="19" t="s">
        <v>143</v>
      </c>
      <c r="P241" s="19" t="s">
        <v>186</v>
      </c>
      <c r="Q241" s="20">
        <f t="shared" si="4"/>
        <v>0.6666666667</v>
      </c>
      <c r="R241" s="20">
        <f t="shared" si="5"/>
        <v>0.8888888889</v>
      </c>
      <c r="S241" s="20">
        <f t="shared" si="6"/>
        <v>0.07407407407</v>
      </c>
      <c r="T241" s="20">
        <f t="shared" si="7"/>
        <v>0.8421052632</v>
      </c>
      <c r="U241" s="20">
        <f>IF(B241="","",MIN(Q241/Targets!$B$2,1)*Targets!$D$2+MIN(G241/100/Targets!$B$3,1)*Targets!$D$3+MIN(T241/Targets!$B$4,1)*Targets!$D$4+MIN(R241/Targets!$B$5,1)*Targets!$D$5+MIN(N241/Targets!$B$6,1)*Targets!$D$6+MIN(Targets!$B$7/MAX(S241,0.0001),1)*Targets!$D$7)</f>
        <v>0.572857839</v>
      </c>
    </row>
    <row r="242">
      <c r="A242" s="18">
        <v>46232.0</v>
      </c>
      <c r="B242" s="19" t="s">
        <v>10</v>
      </c>
      <c r="C242" s="19" t="s">
        <v>14</v>
      </c>
      <c r="D242" s="19" t="s">
        <v>121</v>
      </c>
      <c r="E242" s="14">
        <f t="shared" si="1"/>
        <v>9</v>
      </c>
      <c r="F242" s="19">
        <f t="shared" si="2"/>
        <v>13</v>
      </c>
      <c r="G242" s="20">
        <f t="shared" si="3"/>
        <v>1.444444444</v>
      </c>
      <c r="H242" s="19">
        <v>34.0</v>
      </c>
      <c r="I242" s="19">
        <v>37.0</v>
      </c>
      <c r="J242" s="19">
        <v>2.0</v>
      </c>
      <c r="K242" s="19">
        <v>3.8</v>
      </c>
      <c r="L242" s="19">
        <v>42.0</v>
      </c>
      <c r="M242" s="19">
        <v>43.0</v>
      </c>
      <c r="N242" s="19">
        <v>6.4</v>
      </c>
      <c r="O242" s="19" t="s">
        <v>143</v>
      </c>
      <c r="P242" s="19" t="s">
        <v>186</v>
      </c>
      <c r="Q242" s="20">
        <f t="shared" si="4"/>
        <v>1.444444444</v>
      </c>
      <c r="R242" s="20">
        <f t="shared" si="5"/>
        <v>0.9189189189</v>
      </c>
      <c r="S242" s="20">
        <f t="shared" si="6"/>
        <v>0.05405405405</v>
      </c>
      <c r="T242" s="20">
        <f t="shared" si="7"/>
        <v>0.976744186</v>
      </c>
      <c r="U242" s="20">
        <f>IF(B242="","",MIN(Q242/Targets!$B$2,1)*Targets!$D$2+MIN(G242/100/Targets!$B$3,1)*Targets!$D$3+MIN(T242/Targets!$B$4,1)*Targets!$D$4+MIN(R242/Targets!$B$5,1)*Targets!$D$5+MIN(N242/Targets!$B$6,1)*Targets!$D$6+MIN(Targets!$B$7/MAX(S242,0.0001),1)*Targets!$D$7)</f>
        <v>0.6838358471</v>
      </c>
    </row>
    <row r="243">
      <c r="A243" s="18">
        <v>46232.0</v>
      </c>
      <c r="B243" s="19" t="s">
        <v>25</v>
      </c>
      <c r="C243" s="19" t="s">
        <v>167</v>
      </c>
      <c r="D243" s="19" t="s">
        <v>121</v>
      </c>
      <c r="E243" s="14">
        <f t="shared" si="1"/>
        <v>13</v>
      </c>
      <c r="F243" s="19">
        <f t="shared" si="2"/>
        <v>10</v>
      </c>
      <c r="G243" s="20">
        <f t="shared" si="3"/>
        <v>0.7692307692</v>
      </c>
      <c r="H243" s="19">
        <v>24.0</v>
      </c>
      <c r="I243" s="19">
        <v>27.0</v>
      </c>
      <c r="J243" s="19">
        <v>1.0</v>
      </c>
      <c r="K243" s="19">
        <v>5.7</v>
      </c>
      <c r="L243" s="19">
        <v>29.0</v>
      </c>
      <c r="M243" s="19">
        <v>36.0</v>
      </c>
      <c r="N243" s="19">
        <v>6.1</v>
      </c>
      <c r="O243" s="19" t="s">
        <v>143</v>
      </c>
      <c r="P243" s="19" t="s">
        <v>187</v>
      </c>
      <c r="Q243" s="20">
        <f t="shared" si="4"/>
        <v>0.7692307692</v>
      </c>
      <c r="R243" s="20">
        <f t="shared" si="5"/>
        <v>0.8888888889</v>
      </c>
      <c r="S243" s="20">
        <f t="shared" si="6"/>
        <v>0.03703703704</v>
      </c>
      <c r="T243" s="20">
        <f t="shared" si="7"/>
        <v>0.8055555556</v>
      </c>
      <c r="U243" s="20">
        <f>IF(B243="","",MIN(Q243/Targets!$B$2,1)*Targets!$D$2+MIN(G243/100/Targets!$B$3,1)*Targets!$D$3+MIN(T243/Targets!$B$4,1)*Targets!$D$4+MIN(R243/Targets!$B$5,1)*Targets!$D$5+MIN(N243/Targets!$B$6,1)*Targets!$D$6+MIN(Targets!$B$7/MAX(S243,0.0001),1)*Targets!$D$7)</f>
        <v>0.6352572671</v>
      </c>
    </row>
    <row r="244">
      <c r="A244" s="18">
        <v>46232.0</v>
      </c>
      <c r="B244" s="19" t="s">
        <v>37</v>
      </c>
      <c r="C244" s="19" t="s">
        <v>169</v>
      </c>
      <c r="D244" s="19" t="s">
        <v>121</v>
      </c>
      <c r="E244" s="14">
        <f t="shared" si="1"/>
        <v>13</v>
      </c>
      <c r="F244" s="19">
        <f t="shared" si="2"/>
        <v>6</v>
      </c>
      <c r="G244" s="20">
        <f t="shared" si="3"/>
        <v>0.4615384615</v>
      </c>
      <c r="H244" s="19">
        <v>38.0</v>
      </c>
      <c r="I244" s="19">
        <v>40.0</v>
      </c>
      <c r="J244" s="19">
        <v>1.0</v>
      </c>
      <c r="K244" s="19">
        <v>1.9</v>
      </c>
      <c r="L244" s="19">
        <v>45.0</v>
      </c>
      <c r="M244" s="19">
        <v>49.0</v>
      </c>
      <c r="N244" s="19">
        <v>7.6</v>
      </c>
      <c r="O244" s="19" t="s">
        <v>143</v>
      </c>
      <c r="P244" s="19" t="s">
        <v>189</v>
      </c>
      <c r="Q244" s="20">
        <f t="shared" si="4"/>
        <v>0.4615384615</v>
      </c>
      <c r="R244" s="20">
        <f t="shared" si="5"/>
        <v>0.95</v>
      </c>
      <c r="S244" s="20">
        <f t="shared" si="6"/>
        <v>0.025</v>
      </c>
      <c r="T244" s="20">
        <f t="shared" si="7"/>
        <v>0.9183673469</v>
      </c>
      <c r="U244" s="20">
        <f>IF(B244="","",MIN(Q244/Targets!$B$2,1)*Targets!$D$2+MIN(G244/100/Targets!$B$3,1)*Targets!$D$3+MIN(T244/Targets!$B$4,1)*Targets!$D$4+MIN(R244/Targets!$B$5,1)*Targets!$D$5+MIN(N244/Targets!$B$6,1)*Targets!$D$6+MIN(Targets!$B$7/MAX(S244,0.0001),1)*Targets!$D$7)</f>
        <v>0.6041025641</v>
      </c>
    </row>
    <row r="245">
      <c r="A245" s="18">
        <v>46232.0</v>
      </c>
      <c r="B245" s="19" t="s">
        <v>42</v>
      </c>
      <c r="C245" s="19" t="s">
        <v>171</v>
      </c>
      <c r="D245" s="19" t="s">
        <v>121</v>
      </c>
      <c r="E245" s="14">
        <f t="shared" si="1"/>
        <v>16</v>
      </c>
      <c r="F245" s="19">
        <f t="shared" si="2"/>
        <v>13</v>
      </c>
      <c r="G245" s="20">
        <f t="shared" si="3"/>
        <v>0.8125</v>
      </c>
      <c r="H245" s="19">
        <v>56.0</v>
      </c>
      <c r="I245" s="19">
        <v>59.0</v>
      </c>
      <c r="J245" s="19">
        <v>3.0</v>
      </c>
      <c r="K245" s="19">
        <v>1.6</v>
      </c>
      <c r="L245" s="19">
        <v>60.0</v>
      </c>
      <c r="M245" s="19">
        <v>65.0</v>
      </c>
      <c r="N245" s="19">
        <v>7.7</v>
      </c>
      <c r="O245" s="19" t="s">
        <v>143</v>
      </c>
      <c r="P245" s="19" t="s">
        <v>144</v>
      </c>
      <c r="Q245" s="20">
        <f t="shared" si="4"/>
        <v>0.8125</v>
      </c>
      <c r="R245" s="20">
        <f t="shared" si="5"/>
        <v>0.9491525424</v>
      </c>
      <c r="S245" s="20">
        <f t="shared" si="6"/>
        <v>0.05084745763</v>
      </c>
      <c r="T245" s="20">
        <f t="shared" si="7"/>
        <v>0.9230769231</v>
      </c>
      <c r="U245" s="20">
        <f>IF(B245="","",MIN(Q245/Targets!$B$2,1)*Targets!$D$2+MIN(G245/100/Targets!$B$3,1)*Targets!$D$3+MIN(T245/Targets!$B$4,1)*Targets!$D$4+MIN(R245/Targets!$B$5,1)*Targets!$D$5+MIN(N245/Targets!$B$6,1)*Targets!$D$6+MIN(Targets!$B$7/MAX(S245,0.0001),1)*Targets!$D$7)</f>
        <v>0.6814634131</v>
      </c>
    </row>
    <row r="246">
      <c r="A246" s="18">
        <v>46232.0</v>
      </c>
      <c r="B246" s="19" t="s">
        <v>46</v>
      </c>
      <c r="C246" s="19" t="s">
        <v>179</v>
      </c>
      <c r="D246" s="19" t="s">
        <v>121</v>
      </c>
      <c r="E246" s="14">
        <f t="shared" si="1"/>
        <v>7</v>
      </c>
      <c r="F246" s="19">
        <f t="shared" si="2"/>
        <v>15</v>
      </c>
      <c r="G246" s="20">
        <f t="shared" si="3"/>
        <v>2.142857143</v>
      </c>
      <c r="H246" s="19">
        <v>30.0</v>
      </c>
      <c r="I246" s="19">
        <v>32.0</v>
      </c>
      <c r="J246" s="19">
        <v>1.0</v>
      </c>
      <c r="K246" s="19">
        <v>4.0</v>
      </c>
      <c r="L246" s="19">
        <v>36.0</v>
      </c>
      <c r="M246" s="19">
        <v>43.0</v>
      </c>
      <c r="N246" s="19">
        <v>6.9</v>
      </c>
      <c r="O246" s="19" t="s">
        <v>143</v>
      </c>
      <c r="P246" s="19" t="s">
        <v>168</v>
      </c>
      <c r="Q246" s="20">
        <f t="shared" si="4"/>
        <v>2.142857143</v>
      </c>
      <c r="R246" s="20">
        <f t="shared" si="5"/>
        <v>0.9375</v>
      </c>
      <c r="S246" s="20">
        <f t="shared" si="6"/>
        <v>0.03125</v>
      </c>
      <c r="T246" s="20">
        <f t="shared" si="7"/>
        <v>0.8372093023</v>
      </c>
      <c r="U246" s="20">
        <f>IF(B246="","",MIN(Q246/Targets!$B$2,1)*Targets!$D$2+MIN(G246/100/Targets!$B$3,1)*Targets!$D$3+MIN(T246/Targets!$B$4,1)*Targets!$D$4+MIN(R246/Targets!$B$5,1)*Targets!$D$5+MIN(N246/Targets!$B$6,1)*Targets!$D$6+MIN(Targets!$B$7/MAX(S246,0.0001),1)*Targets!$D$7)</f>
        <v>0.6932754852</v>
      </c>
    </row>
    <row r="247">
      <c r="A247" s="18">
        <v>46232.0</v>
      </c>
      <c r="B247" s="19" t="s">
        <v>53</v>
      </c>
      <c r="C247" s="19" t="s">
        <v>14</v>
      </c>
      <c r="D247" s="19" t="s">
        <v>121</v>
      </c>
      <c r="E247" s="14">
        <f t="shared" si="1"/>
        <v>15</v>
      </c>
      <c r="F247" s="19">
        <f t="shared" si="2"/>
        <v>12</v>
      </c>
      <c r="G247" s="20">
        <f t="shared" si="3"/>
        <v>0.8</v>
      </c>
      <c r="H247" s="19">
        <v>28.0</v>
      </c>
      <c r="I247" s="19">
        <v>32.0</v>
      </c>
      <c r="J247" s="19">
        <v>2.0</v>
      </c>
      <c r="K247" s="19">
        <v>3.9</v>
      </c>
      <c r="L247" s="19">
        <v>36.0</v>
      </c>
      <c r="M247" s="19">
        <v>43.0</v>
      </c>
      <c r="N247" s="19">
        <v>6.5</v>
      </c>
      <c r="O247" s="19" t="s">
        <v>143</v>
      </c>
      <c r="P247" s="19" t="s">
        <v>186</v>
      </c>
      <c r="Q247" s="20">
        <f t="shared" si="4"/>
        <v>0.8</v>
      </c>
      <c r="R247" s="20">
        <f t="shared" si="5"/>
        <v>0.875</v>
      </c>
      <c r="S247" s="20">
        <f t="shared" si="6"/>
        <v>0.0625</v>
      </c>
      <c r="T247" s="20">
        <f t="shared" si="7"/>
        <v>0.8372093023</v>
      </c>
      <c r="U247" s="20">
        <f>IF(B247="","",MIN(Q247/Targets!$B$2,1)*Targets!$D$2+MIN(G247/100/Targets!$B$3,1)*Targets!$D$3+MIN(T247/Targets!$B$4,1)*Targets!$D$4+MIN(R247/Targets!$B$5,1)*Targets!$D$5+MIN(N247/Targets!$B$6,1)*Targets!$D$6+MIN(Targets!$B$7/MAX(S247,0.0001),1)*Targets!$D$7)</f>
        <v>0.6309943658</v>
      </c>
    </row>
    <row r="248">
      <c r="A248" s="18">
        <v>46232.0</v>
      </c>
      <c r="B248" s="19" t="s">
        <v>65</v>
      </c>
      <c r="C248" s="19" t="s">
        <v>167</v>
      </c>
      <c r="D248" s="19" t="s">
        <v>121</v>
      </c>
      <c r="E248" s="14">
        <f t="shared" si="1"/>
        <v>13</v>
      </c>
      <c r="F248" s="19">
        <f t="shared" si="2"/>
        <v>9</v>
      </c>
      <c r="G248" s="20">
        <f t="shared" si="3"/>
        <v>0.6923076923</v>
      </c>
      <c r="H248" s="19">
        <v>45.0</v>
      </c>
      <c r="I248" s="19">
        <v>47.0</v>
      </c>
      <c r="J248" s="19">
        <v>4.0</v>
      </c>
      <c r="K248" s="19">
        <v>1.7</v>
      </c>
      <c r="L248" s="19">
        <v>52.0</v>
      </c>
      <c r="M248" s="19">
        <v>55.0</v>
      </c>
      <c r="N248" s="19">
        <v>8.1</v>
      </c>
      <c r="O248" s="19" t="s">
        <v>143</v>
      </c>
      <c r="P248" s="19" t="s">
        <v>187</v>
      </c>
      <c r="Q248" s="20">
        <f t="shared" si="4"/>
        <v>0.6923076923</v>
      </c>
      <c r="R248" s="20">
        <f t="shared" si="5"/>
        <v>0.9574468085</v>
      </c>
      <c r="S248" s="20">
        <f t="shared" si="6"/>
        <v>0.08510638298</v>
      </c>
      <c r="T248" s="20">
        <f t="shared" si="7"/>
        <v>0.9454545455</v>
      </c>
      <c r="U248" s="20">
        <f>IF(B248="","",MIN(Q248/Targets!$B$2,1)*Targets!$D$2+MIN(G248/100/Targets!$B$3,1)*Targets!$D$3+MIN(T248/Targets!$B$4,1)*Targets!$D$4+MIN(R248/Targets!$B$5,1)*Targets!$D$5+MIN(N248/Targets!$B$6,1)*Targets!$D$6+MIN(Targets!$B$7/MAX(S248,0.0001),1)*Targets!$D$7)</f>
        <v>0.6149038462</v>
      </c>
    </row>
    <row r="249">
      <c r="A249" s="18">
        <v>46232.0</v>
      </c>
      <c r="B249" s="19" t="s">
        <v>73</v>
      </c>
      <c r="C249" s="19" t="s">
        <v>169</v>
      </c>
      <c r="D249" s="19" t="s">
        <v>121</v>
      </c>
      <c r="E249" s="14">
        <f t="shared" si="1"/>
        <v>15</v>
      </c>
      <c r="F249" s="19">
        <f t="shared" si="2"/>
        <v>12</v>
      </c>
      <c r="G249" s="20">
        <f t="shared" si="3"/>
        <v>0.8</v>
      </c>
      <c r="H249" s="19">
        <v>46.0</v>
      </c>
      <c r="I249" s="19">
        <v>49.0</v>
      </c>
      <c r="J249" s="19">
        <v>2.0</v>
      </c>
      <c r="K249" s="19">
        <v>2.8</v>
      </c>
      <c r="L249" s="19">
        <v>55.0</v>
      </c>
      <c r="M249" s="19">
        <v>61.0</v>
      </c>
      <c r="N249" s="19">
        <v>7.5</v>
      </c>
      <c r="O249" s="19" t="s">
        <v>143</v>
      </c>
      <c r="P249" s="19" t="s">
        <v>187</v>
      </c>
      <c r="Q249" s="20">
        <f t="shared" si="4"/>
        <v>0.8</v>
      </c>
      <c r="R249" s="20">
        <f t="shared" si="5"/>
        <v>0.9387755102</v>
      </c>
      <c r="S249" s="20">
        <f t="shared" si="6"/>
        <v>0.04081632653</v>
      </c>
      <c r="T249" s="20">
        <f t="shared" si="7"/>
        <v>0.9016393443</v>
      </c>
      <c r="U249" s="20">
        <f>IF(B249="","",MIN(Q249/Targets!$B$2,1)*Targets!$D$2+MIN(G249/100/Targets!$B$3,1)*Targets!$D$3+MIN(T249/Targets!$B$4,1)*Targets!$D$4+MIN(R249/Targets!$B$5,1)*Targets!$D$5+MIN(N249/Targets!$B$6,1)*Targets!$D$6+MIN(Targets!$B$7/MAX(S249,0.0001),1)*Targets!$D$7)</f>
        <v>0.6786721566</v>
      </c>
    </row>
    <row r="250">
      <c r="A250" s="18">
        <v>46232.0</v>
      </c>
      <c r="B250" s="19" t="s">
        <v>78</v>
      </c>
      <c r="C250" s="19" t="s">
        <v>171</v>
      </c>
      <c r="D250" s="19" t="s">
        <v>121</v>
      </c>
      <c r="E250" s="14">
        <f t="shared" si="1"/>
        <v>15</v>
      </c>
      <c r="F250" s="19">
        <f t="shared" si="2"/>
        <v>7</v>
      </c>
      <c r="G250" s="20">
        <f t="shared" si="3"/>
        <v>0.4666666667</v>
      </c>
      <c r="H250" s="19">
        <v>36.0</v>
      </c>
      <c r="I250" s="19">
        <v>41.0</v>
      </c>
      <c r="J250" s="19">
        <v>2.0</v>
      </c>
      <c r="K250" s="19">
        <v>3.9</v>
      </c>
      <c r="L250" s="19">
        <v>45.0</v>
      </c>
      <c r="M250" s="19">
        <v>53.0</v>
      </c>
      <c r="N250" s="19">
        <v>7.0</v>
      </c>
      <c r="O250" s="19" t="s">
        <v>143</v>
      </c>
      <c r="P250" s="19" t="s">
        <v>178</v>
      </c>
      <c r="Q250" s="20">
        <f t="shared" si="4"/>
        <v>0.4666666667</v>
      </c>
      <c r="R250" s="20">
        <f t="shared" si="5"/>
        <v>0.8780487805</v>
      </c>
      <c r="S250" s="20">
        <f t="shared" si="6"/>
        <v>0.0487804878</v>
      </c>
      <c r="T250" s="20">
        <f t="shared" si="7"/>
        <v>0.8490566038</v>
      </c>
      <c r="U250" s="20">
        <f>IF(B250="","",MIN(Q250/Targets!$B$2,1)*Targets!$D$2+MIN(G250/100/Targets!$B$3,1)*Targets!$D$3+MIN(T250/Targets!$B$4,1)*Targets!$D$4+MIN(R250/Targets!$B$5,1)*Targets!$D$5+MIN(N250/Targets!$B$6,1)*Targets!$D$6+MIN(Targets!$B$7/MAX(S250,0.0001),1)*Targets!$D$7)</f>
        <v>0.5854079744</v>
      </c>
    </row>
    <row r="251">
      <c r="A251" s="18">
        <v>46232.0</v>
      </c>
      <c r="B251" s="19" t="s">
        <v>84</v>
      </c>
      <c r="C251" s="19" t="s">
        <v>179</v>
      </c>
      <c r="D251" s="19" t="s">
        <v>121</v>
      </c>
      <c r="E251" s="14">
        <f t="shared" si="1"/>
        <v>10</v>
      </c>
      <c r="F251" s="19">
        <f t="shared" si="2"/>
        <v>8</v>
      </c>
      <c r="G251" s="20">
        <f t="shared" si="3"/>
        <v>0.8</v>
      </c>
      <c r="H251" s="19">
        <v>40.0</v>
      </c>
      <c r="I251" s="19">
        <v>45.0</v>
      </c>
      <c r="J251" s="19">
        <v>3.0</v>
      </c>
      <c r="K251" s="19">
        <v>4.5</v>
      </c>
      <c r="L251" s="19">
        <v>49.0</v>
      </c>
      <c r="M251" s="19">
        <v>53.0</v>
      </c>
      <c r="N251" s="19">
        <v>7.5</v>
      </c>
      <c r="O251" s="19" t="s">
        <v>143</v>
      </c>
      <c r="P251" s="19" t="s">
        <v>144</v>
      </c>
      <c r="Q251" s="20">
        <f t="shared" si="4"/>
        <v>0.8</v>
      </c>
      <c r="R251" s="20">
        <f t="shared" si="5"/>
        <v>0.8888888889</v>
      </c>
      <c r="S251" s="20">
        <f t="shared" si="6"/>
        <v>0.06666666667</v>
      </c>
      <c r="T251" s="20">
        <f t="shared" si="7"/>
        <v>0.9245283019</v>
      </c>
      <c r="U251" s="20">
        <f>IF(B251="","",MIN(Q251/Targets!$B$2,1)*Targets!$D$2+MIN(G251/100/Targets!$B$3,1)*Targets!$D$3+MIN(T251/Targets!$B$4,1)*Targets!$D$4+MIN(R251/Targets!$B$5,1)*Targets!$D$5+MIN(N251/Targets!$B$6,1)*Targets!$D$6+MIN(Targets!$B$7/MAX(S251,0.0001),1)*Targets!$D$7)</f>
        <v>0.6457953216</v>
      </c>
    </row>
    <row r="252">
      <c r="A252" s="18">
        <v>46232.0</v>
      </c>
      <c r="B252" s="19" t="s">
        <v>91</v>
      </c>
      <c r="C252" s="19" t="s">
        <v>188</v>
      </c>
      <c r="D252" s="19" t="s">
        <v>121</v>
      </c>
      <c r="E252" s="14">
        <f t="shared" si="1"/>
        <v>9</v>
      </c>
      <c r="F252" s="19">
        <f t="shared" si="2"/>
        <v>10</v>
      </c>
      <c r="G252" s="20">
        <f t="shared" si="3"/>
        <v>1.111111111</v>
      </c>
      <c r="H252" s="19">
        <v>31.0</v>
      </c>
      <c r="I252" s="19">
        <v>35.0</v>
      </c>
      <c r="J252" s="19">
        <v>2.0</v>
      </c>
      <c r="K252" s="19">
        <v>2.7</v>
      </c>
      <c r="L252" s="19">
        <v>49.0</v>
      </c>
      <c r="M252" s="19">
        <v>54.0</v>
      </c>
      <c r="N252" s="19">
        <v>6.3</v>
      </c>
      <c r="O252" s="19" t="s">
        <v>143</v>
      </c>
      <c r="P252" s="19" t="s">
        <v>178</v>
      </c>
      <c r="Q252" s="20">
        <f t="shared" si="4"/>
        <v>1.111111111</v>
      </c>
      <c r="R252" s="20">
        <f t="shared" si="5"/>
        <v>0.8857142857</v>
      </c>
      <c r="S252" s="20">
        <f t="shared" si="6"/>
        <v>0.05714285714</v>
      </c>
      <c r="T252" s="20">
        <f t="shared" si="7"/>
        <v>0.9074074074</v>
      </c>
      <c r="U252" s="20">
        <f>IF(B252="","",MIN(Q252/Targets!$B$2,1)*Targets!$D$2+MIN(G252/100/Targets!$B$3,1)*Targets!$D$3+MIN(T252/Targets!$B$4,1)*Targets!$D$4+MIN(R252/Targets!$B$5,1)*Targets!$D$5+MIN(N252/Targets!$B$6,1)*Targets!$D$6+MIN(Targets!$B$7/MAX(S252,0.0001),1)*Targets!$D$7)</f>
        <v>0.6710533278</v>
      </c>
    </row>
    <row r="253">
      <c r="A253" s="18">
        <v>46232.0</v>
      </c>
      <c r="B253" s="19" t="s">
        <v>100</v>
      </c>
      <c r="C253" s="19" t="s">
        <v>190</v>
      </c>
      <c r="D253" s="19" t="s">
        <v>121</v>
      </c>
      <c r="E253" s="14">
        <f t="shared" si="1"/>
        <v>16</v>
      </c>
      <c r="F253" s="19">
        <f t="shared" si="2"/>
        <v>12</v>
      </c>
      <c r="G253" s="20">
        <f t="shared" si="3"/>
        <v>0.75</v>
      </c>
      <c r="H253" s="19">
        <v>38.0</v>
      </c>
      <c r="I253" s="19">
        <v>43.0</v>
      </c>
      <c r="J253" s="19">
        <v>2.0</v>
      </c>
      <c r="K253" s="19">
        <v>2.7</v>
      </c>
      <c r="L253" s="19">
        <v>43.0</v>
      </c>
      <c r="M253" s="19">
        <v>45.0</v>
      </c>
      <c r="N253" s="19">
        <v>7.7</v>
      </c>
      <c r="O253" s="19" t="s">
        <v>143</v>
      </c>
      <c r="P253" s="19" t="s">
        <v>186</v>
      </c>
      <c r="Q253" s="20">
        <f t="shared" si="4"/>
        <v>0.75</v>
      </c>
      <c r="R253" s="20">
        <f t="shared" si="5"/>
        <v>0.8837209302</v>
      </c>
      <c r="S253" s="20">
        <f t="shared" si="6"/>
        <v>0.04651162791</v>
      </c>
      <c r="T253" s="20">
        <f t="shared" si="7"/>
        <v>0.9555555556</v>
      </c>
      <c r="U253" s="20">
        <f>IF(B253="","",MIN(Q253/Targets!$B$2,1)*Targets!$D$2+MIN(G253/100/Targets!$B$3,1)*Targets!$D$3+MIN(T253/Targets!$B$4,1)*Targets!$D$4+MIN(R253/Targets!$B$5,1)*Targets!$D$5+MIN(N253/Targets!$B$6,1)*Targets!$D$6+MIN(Targets!$B$7/MAX(S253,0.0001),1)*Targets!$D$7)</f>
        <v>0.6587015504</v>
      </c>
    </row>
    <row r="254">
      <c r="A254" s="18">
        <v>46232.0</v>
      </c>
      <c r="B254" s="19" t="s">
        <v>109</v>
      </c>
      <c r="C254" s="19" t="s">
        <v>14</v>
      </c>
      <c r="D254" s="19" t="s">
        <v>121</v>
      </c>
      <c r="E254" s="14">
        <f t="shared" si="1"/>
        <v>16</v>
      </c>
      <c r="F254" s="19">
        <f t="shared" si="2"/>
        <v>14</v>
      </c>
      <c r="G254" s="20">
        <f t="shared" si="3"/>
        <v>0.875</v>
      </c>
      <c r="H254" s="19">
        <v>42.0</v>
      </c>
      <c r="I254" s="19">
        <v>43.0</v>
      </c>
      <c r="J254" s="19">
        <v>3.0</v>
      </c>
      <c r="K254" s="19">
        <v>2.0</v>
      </c>
      <c r="L254" s="19">
        <v>56.0</v>
      </c>
      <c r="M254" s="19">
        <v>62.0</v>
      </c>
      <c r="N254" s="19">
        <v>8.5</v>
      </c>
      <c r="O254" s="19" t="s">
        <v>143</v>
      </c>
      <c r="P254" s="19" t="s">
        <v>144</v>
      </c>
      <c r="Q254" s="20">
        <f t="shared" si="4"/>
        <v>0.875</v>
      </c>
      <c r="R254" s="20">
        <f t="shared" si="5"/>
        <v>0.976744186</v>
      </c>
      <c r="S254" s="20">
        <f t="shared" si="6"/>
        <v>0.06976744186</v>
      </c>
      <c r="T254" s="20">
        <f t="shared" si="7"/>
        <v>0.9032258065</v>
      </c>
      <c r="U254" s="20">
        <f>IF(B254="","",MIN(Q254/Targets!$B$2,1)*Targets!$D$2+MIN(G254/100/Targets!$B$3,1)*Targets!$D$3+MIN(T254/Targets!$B$4,1)*Targets!$D$4+MIN(R254/Targets!$B$5,1)*Targets!$D$5+MIN(N254/Targets!$B$6,1)*Targets!$D$6+MIN(Targets!$B$7/MAX(S254,0.0001),1)*Targets!$D$7)</f>
        <v>0.6690277778</v>
      </c>
    </row>
    <row r="255">
      <c r="A255" s="18">
        <v>46232.0</v>
      </c>
      <c r="B255" s="19" t="s">
        <v>115</v>
      </c>
      <c r="C255" s="19" t="s">
        <v>167</v>
      </c>
      <c r="D255" s="19" t="s">
        <v>121</v>
      </c>
      <c r="E255" s="14">
        <f t="shared" si="1"/>
        <v>6</v>
      </c>
      <c r="F255" s="19">
        <f t="shared" si="2"/>
        <v>10</v>
      </c>
      <c r="G255" s="20">
        <f t="shared" si="3"/>
        <v>1.666666667</v>
      </c>
      <c r="H255" s="19">
        <v>32.0</v>
      </c>
      <c r="I255" s="19">
        <v>34.0</v>
      </c>
      <c r="J255" s="19">
        <v>1.0</v>
      </c>
      <c r="K255" s="19">
        <v>2.9</v>
      </c>
      <c r="L255" s="19">
        <v>43.0</v>
      </c>
      <c r="M255" s="19">
        <v>47.0</v>
      </c>
      <c r="N255" s="19">
        <v>6.8</v>
      </c>
      <c r="O255" s="19" t="s">
        <v>143</v>
      </c>
      <c r="P255" s="19" t="s">
        <v>178</v>
      </c>
      <c r="Q255" s="20">
        <f t="shared" si="4"/>
        <v>1.666666667</v>
      </c>
      <c r="R255" s="20">
        <f t="shared" si="5"/>
        <v>0.9411764706</v>
      </c>
      <c r="S255" s="20">
        <f t="shared" si="6"/>
        <v>0.02941176471</v>
      </c>
      <c r="T255" s="20">
        <f t="shared" si="7"/>
        <v>0.914893617</v>
      </c>
      <c r="U255" s="20">
        <f>IF(B255="","",MIN(Q255/Targets!$B$2,1)*Targets!$D$2+MIN(G255/100/Targets!$B$3,1)*Targets!$D$3+MIN(T255/Targets!$B$4,1)*Targets!$D$4+MIN(R255/Targets!$B$5,1)*Targets!$D$5+MIN(N255/Targets!$B$6,1)*Targets!$D$6+MIN(Targets!$B$7/MAX(S255,0.0001),1)*Targets!$D$7)</f>
        <v>0.7013052238</v>
      </c>
    </row>
    <row r="256">
      <c r="A256" s="18">
        <v>46232.0</v>
      </c>
      <c r="B256" s="19" t="s">
        <v>118</v>
      </c>
      <c r="C256" s="19" t="s">
        <v>169</v>
      </c>
      <c r="D256" s="19" t="s">
        <v>121</v>
      </c>
      <c r="E256" s="14">
        <f t="shared" si="1"/>
        <v>11</v>
      </c>
      <c r="F256" s="19">
        <f t="shared" si="2"/>
        <v>6</v>
      </c>
      <c r="G256" s="20">
        <f t="shared" si="3"/>
        <v>0.5454545455</v>
      </c>
      <c r="H256" s="19">
        <v>32.0</v>
      </c>
      <c r="I256" s="19">
        <v>34.0</v>
      </c>
      <c r="J256" s="19">
        <v>2.0</v>
      </c>
      <c r="K256" s="19">
        <v>2.8</v>
      </c>
      <c r="L256" s="19">
        <v>35.0</v>
      </c>
      <c r="M256" s="19">
        <v>41.0</v>
      </c>
      <c r="N256" s="19">
        <v>6.6</v>
      </c>
      <c r="O256" s="19" t="s">
        <v>143</v>
      </c>
      <c r="P256" s="19" t="s">
        <v>168</v>
      </c>
      <c r="Q256" s="20">
        <f t="shared" si="4"/>
        <v>0.5454545455</v>
      </c>
      <c r="R256" s="20">
        <f t="shared" si="5"/>
        <v>0.9411764706</v>
      </c>
      <c r="S256" s="20">
        <f t="shared" si="6"/>
        <v>0.05882352941</v>
      </c>
      <c r="T256" s="20">
        <f t="shared" si="7"/>
        <v>0.8536585366</v>
      </c>
      <c r="U256" s="20">
        <f>IF(B256="","",MIN(Q256/Targets!$B$2,1)*Targets!$D$2+MIN(G256/100/Targets!$B$3,1)*Targets!$D$3+MIN(T256/Targets!$B$4,1)*Targets!$D$4+MIN(R256/Targets!$B$5,1)*Targets!$D$5+MIN(N256/Targets!$B$6,1)*Targets!$D$6+MIN(Targets!$B$7/MAX(S256,0.0001),1)*Targets!$D$7)</f>
        <v>0.5931992512</v>
      </c>
    </row>
    <row r="257">
      <c r="A257" s="18">
        <v>46232.0</v>
      </c>
      <c r="B257" s="19" t="s">
        <v>123</v>
      </c>
      <c r="C257" s="19" t="s">
        <v>171</v>
      </c>
      <c r="D257" s="19" t="s">
        <v>121</v>
      </c>
      <c r="E257" s="14">
        <f t="shared" si="1"/>
        <v>9</v>
      </c>
      <c r="F257" s="19">
        <f t="shared" si="2"/>
        <v>10</v>
      </c>
      <c r="G257" s="20">
        <f t="shared" si="3"/>
        <v>1.111111111</v>
      </c>
      <c r="H257" s="19">
        <v>30.0</v>
      </c>
      <c r="I257" s="19">
        <v>35.0</v>
      </c>
      <c r="J257" s="19">
        <v>1.0</v>
      </c>
      <c r="K257" s="19">
        <v>3.5</v>
      </c>
      <c r="L257" s="19">
        <v>48.0</v>
      </c>
      <c r="M257" s="19">
        <v>56.0</v>
      </c>
      <c r="N257" s="19">
        <v>6.4</v>
      </c>
      <c r="O257" s="19" t="s">
        <v>143</v>
      </c>
      <c r="P257" s="19" t="s">
        <v>178</v>
      </c>
      <c r="Q257" s="20">
        <f t="shared" si="4"/>
        <v>1.111111111</v>
      </c>
      <c r="R257" s="20">
        <f t="shared" si="5"/>
        <v>0.8571428571</v>
      </c>
      <c r="S257" s="20">
        <f t="shared" si="6"/>
        <v>0.02857142857</v>
      </c>
      <c r="T257" s="20">
        <f t="shared" si="7"/>
        <v>0.8571428571</v>
      </c>
      <c r="U257" s="20">
        <f>IF(B257="","",MIN(Q257/Targets!$B$2,1)*Targets!$D$2+MIN(G257/100/Targets!$B$3,1)*Targets!$D$3+MIN(T257/Targets!$B$4,1)*Targets!$D$4+MIN(R257/Targets!$B$5,1)*Targets!$D$5+MIN(N257/Targets!$B$6,1)*Targets!$D$6+MIN(Targets!$B$7/MAX(S257,0.0001),1)*Targets!$D$7)</f>
        <v>0.6733277639</v>
      </c>
    </row>
    <row r="258">
      <c r="A258" s="18">
        <v>46232.0</v>
      </c>
      <c r="B258" s="19" t="s">
        <v>126</v>
      </c>
      <c r="C258" s="19" t="s">
        <v>179</v>
      </c>
      <c r="D258" s="19" t="s">
        <v>121</v>
      </c>
      <c r="E258" s="14">
        <f t="shared" si="1"/>
        <v>10</v>
      </c>
      <c r="F258" s="19">
        <f t="shared" si="2"/>
        <v>10</v>
      </c>
      <c r="G258" s="20">
        <f t="shared" si="3"/>
        <v>1</v>
      </c>
      <c r="H258" s="19">
        <v>22.0</v>
      </c>
      <c r="I258" s="19">
        <v>24.0</v>
      </c>
      <c r="J258" s="19">
        <v>1.0</v>
      </c>
      <c r="K258" s="19">
        <v>3.8</v>
      </c>
      <c r="L258" s="19">
        <v>34.0</v>
      </c>
      <c r="M258" s="19">
        <v>43.0</v>
      </c>
      <c r="N258" s="19">
        <v>6.7</v>
      </c>
      <c r="O258" s="19" t="s">
        <v>143</v>
      </c>
      <c r="P258" s="19" t="s">
        <v>168</v>
      </c>
      <c r="Q258" s="20">
        <f t="shared" si="4"/>
        <v>1</v>
      </c>
      <c r="R258" s="20">
        <f t="shared" si="5"/>
        <v>0.9166666667</v>
      </c>
      <c r="S258" s="20">
        <f t="shared" si="6"/>
        <v>0.04166666667</v>
      </c>
      <c r="T258" s="20">
        <f t="shared" si="7"/>
        <v>0.7906976744</v>
      </c>
      <c r="U258" s="20">
        <f>IF(B258="","",MIN(Q258/Targets!$B$2,1)*Targets!$D$2+MIN(G258/100/Targets!$B$3,1)*Targets!$D$3+MIN(T258/Targets!$B$4,1)*Targets!$D$4+MIN(R258/Targets!$B$5,1)*Targets!$D$5+MIN(N258/Targets!$B$6,1)*Targets!$D$6+MIN(Targets!$B$7/MAX(S258,0.0001),1)*Targets!$D$7)</f>
        <v>0.6755674069</v>
      </c>
    </row>
    <row r="259">
      <c r="A259" s="18">
        <v>46232.0</v>
      </c>
      <c r="B259" s="19" t="s">
        <v>129</v>
      </c>
      <c r="C259" s="19" t="s">
        <v>188</v>
      </c>
      <c r="D259" s="19" t="s">
        <v>121</v>
      </c>
      <c r="E259" s="14">
        <f t="shared" si="1"/>
        <v>11</v>
      </c>
      <c r="F259" s="19">
        <f t="shared" si="2"/>
        <v>6</v>
      </c>
      <c r="G259" s="20">
        <f t="shared" si="3"/>
        <v>0.5454545455</v>
      </c>
      <c r="H259" s="19">
        <v>46.0</v>
      </c>
      <c r="I259" s="19">
        <v>48.0</v>
      </c>
      <c r="J259" s="19">
        <v>4.0</v>
      </c>
      <c r="K259" s="19">
        <v>2.2</v>
      </c>
      <c r="L259" s="19">
        <v>63.0</v>
      </c>
      <c r="M259" s="19">
        <v>64.0</v>
      </c>
      <c r="N259" s="19">
        <v>8.2</v>
      </c>
      <c r="O259" s="19" t="s">
        <v>143</v>
      </c>
      <c r="P259" s="19" t="s">
        <v>187</v>
      </c>
      <c r="Q259" s="20">
        <f t="shared" si="4"/>
        <v>0.5454545455</v>
      </c>
      <c r="R259" s="20">
        <f t="shared" si="5"/>
        <v>0.9583333333</v>
      </c>
      <c r="S259" s="20">
        <f t="shared" si="6"/>
        <v>0.08333333333</v>
      </c>
      <c r="T259" s="20">
        <f t="shared" si="7"/>
        <v>0.984375</v>
      </c>
      <c r="U259" s="20">
        <f>IF(B259="","",MIN(Q259/Targets!$B$2,1)*Targets!$D$2+MIN(G259/100/Targets!$B$3,1)*Targets!$D$3+MIN(T259/Targets!$B$4,1)*Targets!$D$4+MIN(R259/Targets!$B$5,1)*Targets!$D$5+MIN(N259/Targets!$B$6,1)*Targets!$D$6+MIN(Targets!$B$7/MAX(S259,0.0001),1)*Targets!$D$7)</f>
        <v>0.583030303</v>
      </c>
    </row>
    <row r="260">
      <c r="A260" s="18">
        <v>46232.0</v>
      </c>
      <c r="B260" s="19" t="s">
        <v>132</v>
      </c>
      <c r="C260" s="19" t="s">
        <v>190</v>
      </c>
      <c r="D260" s="19" t="s">
        <v>121</v>
      </c>
      <c r="E260" s="14">
        <f t="shared" si="1"/>
        <v>11</v>
      </c>
      <c r="F260" s="19">
        <f t="shared" si="2"/>
        <v>14</v>
      </c>
      <c r="G260" s="20">
        <f t="shared" si="3"/>
        <v>1.272727273</v>
      </c>
      <c r="H260" s="19">
        <v>0.0</v>
      </c>
      <c r="I260" s="19">
        <v>0.0</v>
      </c>
      <c r="J260" s="19">
        <v>0.0</v>
      </c>
      <c r="K260" s="19">
        <v>0.0</v>
      </c>
      <c r="L260" s="19">
        <v>0.0</v>
      </c>
      <c r="M260" s="19">
        <v>0.0</v>
      </c>
      <c r="N260" s="19">
        <v>0.0</v>
      </c>
      <c r="O260" s="19" t="s">
        <v>205</v>
      </c>
      <c r="P260" s="19" t="s">
        <v>205</v>
      </c>
      <c r="Q260" s="20">
        <f t="shared" si="4"/>
        <v>1.272727273</v>
      </c>
      <c r="R260" s="20">
        <f t="shared" si="5"/>
        <v>0</v>
      </c>
      <c r="S260" s="20">
        <f t="shared" si="6"/>
        <v>0</v>
      </c>
      <c r="T260" s="20">
        <f t="shared" si="7"/>
        <v>0</v>
      </c>
      <c r="U260" s="20">
        <f>IF(B260="","",MIN(Q260/Targets!$B$2,1)*Targets!$D$2+MIN(G260/100/Targets!$B$3,1)*Targets!$D$3+MIN(T260/Targets!$B$4,1)*Targets!$D$4+MIN(R260/Targets!$B$5,1)*Targets!$D$5+MIN(N260/Targets!$B$6,1)*Targets!$D$6+MIN(Targets!$B$7/MAX(S260,0.0001),1)*Targets!$D$7)</f>
        <v>0.3042424242</v>
      </c>
    </row>
    <row r="261">
      <c r="A261" s="18">
        <v>46232.0</v>
      </c>
      <c r="B261" s="19" t="s">
        <v>135</v>
      </c>
      <c r="C261" s="19" t="s">
        <v>169</v>
      </c>
      <c r="D261" s="19" t="s">
        <v>121</v>
      </c>
      <c r="E261" s="14">
        <f t="shared" si="1"/>
        <v>6</v>
      </c>
      <c r="F261" s="19">
        <f t="shared" si="2"/>
        <v>7</v>
      </c>
      <c r="G261" s="20">
        <f t="shared" si="3"/>
        <v>1.166666667</v>
      </c>
      <c r="H261" s="19">
        <v>54.0</v>
      </c>
      <c r="I261" s="19">
        <v>58.0</v>
      </c>
      <c r="J261" s="19">
        <v>3.0</v>
      </c>
      <c r="K261" s="19">
        <v>2.8</v>
      </c>
      <c r="L261" s="19">
        <v>58.0</v>
      </c>
      <c r="M261" s="19">
        <v>61.0</v>
      </c>
      <c r="N261" s="19">
        <v>8.3</v>
      </c>
      <c r="O261" s="19" t="s">
        <v>143</v>
      </c>
      <c r="P261" s="19" t="s">
        <v>189</v>
      </c>
      <c r="Q261" s="20">
        <f t="shared" si="4"/>
        <v>1.166666667</v>
      </c>
      <c r="R261" s="20">
        <f t="shared" si="5"/>
        <v>0.9310344828</v>
      </c>
      <c r="S261" s="20">
        <f t="shared" si="6"/>
        <v>0.05172413793</v>
      </c>
      <c r="T261" s="20">
        <f t="shared" si="7"/>
        <v>0.9508196721</v>
      </c>
      <c r="U261" s="20">
        <f>IF(B261="","",MIN(Q261/Targets!$B$2,1)*Targets!$D$2+MIN(G261/100/Targets!$B$3,1)*Targets!$D$3+MIN(T261/Targets!$B$4,1)*Targets!$D$4+MIN(R261/Targets!$B$5,1)*Targets!$D$5+MIN(N261/Targets!$B$6,1)*Targets!$D$6+MIN(Targets!$B$7/MAX(S261,0.0001),1)*Targets!$D$7)</f>
        <v>0.6975610002</v>
      </c>
    </row>
    <row r="262">
      <c r="A262" s="18">
        <v>46233.0</v>
      </c>
      <c r="B262" s="19" t="s">
        <v>10</v>
      </c>
      <c r="C262" s="19" t="s">
        <v>14</v>
      </c>
      <c r="D262" s="19" t="s">
        <v>121</v>
      </c>
      <c r="E262" s="14">
        <f t="shared" si="1"/>
        <v>6</v>
      </c>
      <c r="F262" s="19">
        <f t="shared" si="2"/>
        <v>12</v>
      </c>
      <c r="G262" s="20">
        <f t="shared" si="3"/>
        <v>2</v>
      </c>
      <c r="H262" s="19">
        <v>42.0</v>
      </c>
      <c r="I262" s="19">
        <v>45.0</v>
      </c>
      <c r="J262" s="19">
        <v>3.0</v>
      </c>
      <c r="K262" s="19">
        <v>1.9</v>
      </c>
      <c r="L262" s="19">
        <v>51.0</v>
      </c>
      <c r="M262" s="19">
        <v>55.0</v>
      </c>
      <c r="N262" s="19">
        <v>7.5</v>
      </c>
      <c r="O262" s="19" t="s">
        <v>143</v>
      </c>
      <c r="P262" s="19" t="s">
        <v>187</v>
      </c>
      <c r="Q262" s="20">
        <f t="shared" si="4"/>
        <v>2</v>
      </c>
      <c r="R262" s="20">
        <f t="shared" si="5"/>
        <v>0.9333333333</v>
      </c>
      <c r="S262" s="20">
        <f t="shared" si="6"/>
        <v>0.06666666667</v>
      </c>
      <c r="T262" s="20">
        <f t="shared" si="7"/>
        <v>0.9272727273</v>
      </c>
      <c r="U262" s="20">
        <f>IF(B262="","",MIN(Q262/Targets!$B$2,1)*Targets!$D$2+MIN(G262/100/Targets!$B$3,1)*Targets!$D$3+MIN(T262/Targets!$B$4,1)*Targets!$D$4+MIN(R262/Targets!$B$5,1)*Targets!$D$5+MIN(N262/Targets!$B$6,1)*Targets!$D$6+MIN(Targets!$B$7/MAX(S262,0.0001),1)*Targets!$D$7)</f>
        <v>0.6790350877</v>
      </c>
    </row>
    <row r="263">
      <c r="A263" s="18">
        <v>46233.0</v>
      </c>
      <c r="B263" s="19" t="s">
        <v>25</v>
      </c>
      <c r="C263" s="19" t="s">
        <v>167</v>
      </c>
      <c r="D263" s="19" t="s">
        <v>121</v>
      </c>
      <c r="E263" s="14">
        <f t="shared" si="1"/>
        <v>9</v>
      </c>
      <c r="F263" s="19">
        <f t="shared" si="2"/>
        <v>15</v>
      </c>
      <c r="G263" s="20">
        <f t="shared" si="3"/>
        <v>1.666666667</v>
      </c>
      <c r="H263" s="19">
        <v>25.0</v>
      </c>
      <c r="I263" s="19">
        <v>28.0</v>
      </c>
      <c r="J263" s="19">
        <v>1.0</v>
      </c>
      <c r="K263" s="19">
        <v>2.7</v>
      </c>
      <c r="L263" s="19">
        <v>39.0</v>
      </c>
      <c r="M263" s="19">
        <v>41.0</v>
      </c>
      <c r="N263" s="19">
        <v>7.9</v>
      </c>
      <c r="O263" s="19" t="s">
        <v>143</v>
      </c>
      <c r="P263" s="19" t="s">
        <v>191</v>
      </c>
      <c r="Q263" s="20">
        <f t="shared" si="4"/>
        <v>1.666666667</v>
      </c>
      <c r="R263" s="20">
        <f t="shared" si="5"/>
        <v>0.8928571429</v>
      </c>
      <c r="S263" s="20">
        <f t="shared" si="6"/>
        <v>0.03571428571</v>
      </c>
      <c r="T263" s="20">
        <f t="shared" si="7"/>
        <v>0.9512195122</v>
      </c>
      <c r="U263" s="20">
        <f>IF(B263="","",MIN(Q263/Targets!$B$2,1)*Targets!$D$2+MIN(G263/100/Targets!$B$3,1)*Targets!$D$3+MIN(T263/Targets!$B$4,1)*Targets!$D$4+MIN(R263/Targets!$B$5,1)*Targets!$D$5+MIN(N263/Targets!$B$6,1)*Targets!$D$6+MIN(Targets!$B$7/MAX(S263,0.0001),1)*Targets!$D$7)</f>
        <v>0.6965329992</v>
      </c>
    </row>
    <row r="264">
      <c r="A264" s="18">
        <v>46233.0</v>
      </c>
      <c r="B264" s="19" t="s">
        <v>37</v>
      </c>
      <c r="C264" s="19" t="s">
        <v>169</v>
      </c>
      <c r="D264" s="19" t="s">
        <v>121</v>
      </c>
      <c r="E264" s="14">
        <f t="shared" si="1"/>
        <v>6</v>
      </c>
      <c r="F264" s="19">
        <f t="shared" si="2"/>
        <v>10</v>
      </c>
      <c r="G264" s="20">
        <f t="shared" si="3"/>
        <v>1.666666667</v>
      </c>
      <c r="H264" s="19">
        <v>58.0</v>
      </c>
      <c r="I264" s="19">
        <v>59.0</v>
      </c>
      <c r="J264" s="19">
        <v>3.0</v>
      </c>
      <c r="K264" s="19">
        <v>2.5</v>
      </c>
      <c r="L264" s="19">
        <v>52.0</v>
      </c>
      <c r="M264" s="19">
        <v>62.0</v>
      </c>
      <c r="N264" s="19">
        <v>7.6</v>
      </c>
      <c r="O264" s="19" t="s">
        <v>143</v>
      </c>
      <c r="P264" s="19" t="s">
        <v>186</v>
      </c>
      <c r="Q264" s="20">
        <f t="shared" si="4"/>
        <v>1.666666667</v>
      </c>
      <c r="R264" s="20">
        <f t="shared" si="5"/>
        <v>0.9830508475</v>
      </c>
      <c r="S264" s="20">
        <f t="shared" si="6"/>
        <v>0.05084745763</v>
      </c>
      <c r="T264" s="20">
        <f t="shared" si="7"/>
        <v>0.8387096774</v>
      </c>
      <c r="U264" s="20">
        <f>IF(B264="","",MIN(Q264/Targets!$B$2,1)*Targets!$D$2+MIN(G264/100/Targets!$B$3,1)*Targets!$D$3+MIN(T264/Targets!$B$4,1)*Targets!$D$4+MIN(R264/Targets!$B$5,1)*Targets!$D$5+MIN(N264/Targets!$B$6,1)*Targets!$D$6+MIN(Targets!$B$7/MAX(S264,0.0001),1)*Targets!$D$7)</f>
        <v>0.6936738351</v>
      </c>
    </row>
    <row r="265">
      <c r="A265" s="18">
        <v>46233.0</v>
      </c>
      <c r="B265" s="19" t="s">
        <v>42</v>
      </c>
      <c r="C265" s="19" t="s">
        <v>171</v>
      </c>
      <c r="D265" s="19" t="s">
        <v>121</v>
      </c>
      <c r="E265" s="14">
        <f t="shared" si="1"/>
        <v>13</v>
      </c>
      <c r="F265" s="19">
        <f t="shared" si="2"/>
        <v>13</v>
      </c>
      <c r="G265" s="20">
        <f t="shared" si="3"/>
        <v>1</v>
      </c>
      <c r="H265" s="19">
        <v>39.0</v>
      </c>
      <c r="I265" s="19">
        <v>42.0</v>
      </c>
      <c r="J265" s="19">
        <v>3.0</v>
      </c>
      <c r="K265" s="19">
        <v>1.6</v>
      </c>
      <c r="L265" s="19">
        <v>41.0</v>
      </c>
      <c r="M265" s="19">
        <v>48.0</v>
      </c>
      <c r="N265" s="19">
        <v>7.9</v>
      </c>
      <c r="O265" s="19" t="s">
        <v>143</v>
      </c>
      <c r="P265" s="19" t="s">
        <v>178</v>
      </c>
      <c r="Q265" s="20">
        <f t="shared" si="4"/>
        <v>1</v>
      </c>
      <c r="R265" s="20">
        <f t="shared" si="5"/>
        <v>0.9285714286</v>
      </c>
      <c r="S265" s="20">
        <f t="shared" si="6"/>
        <v>0.07142857143</v>
      </c>
      <c r="T265" s="20">
        <f t="shared" si="7"/>
        <v>0.8541666667</v>
      </c>
      <c r="U265" s="20">
        <f>IF(B265="","",MIN(Q265/Targets!$B$2,1)*Targets!$D$2+MIN(G265/100/Targets!$B$3,1)*Targets!$D$3+MIN(T265/Targets!$B$4,1)*Targets!$D$4+MIN(R265/Targets!$B$5,1)*Targets!$D$5+MIN(N265/Targets!$B$6,1)*Targets!$D$6+MIN(Targets!$B$7/MAX(S265,0.0001),1)*Targets!$D$7)</f>
        <v>0.6623109858</v>
      </c>
    </row>
    <row r="266">
      <c r="A266" s="18">
        <v>46233.0</v>
      </c>
      <c r="B266" s="19" t="s">
        <v>46</v>
      </c>
      <c r="C266" s="19" t="s">
        <v>179</v>
      </c>
      <c r="D266" s="19" t="s">
        <v>121</v>
      </c>
      <c r="E266" s="14">
        <f t="shared" si="1"/>
        <v>10</v>
      </c>
      <c r="F266" s="19">
        <f t="shared" si="2"/>
        <v>6</v>
      </c>
      <c r="G266" s="20">
        <f t="shared" si="3"/>
        <v>0.6</v>
      </c>
      <c r="H266" s="19">
        <v>31.0</v>
      </c>
      <c r="I266" s="19">
        <v>34.0</v>
      </c>
      <c r="J266" s="19">
        <v>1.0</v>
      </c>
      <c r="K266" s="19">
        <v>2.6</v>
      </c>
      <c r="L266" s="19">
        <v>39.0</v>
      </c>
      <c r="M266" s="19">
        <v>48.0</v>
      </c>
      <c r="N266" s="19">
        <v>7.3</v>
      </c>
      <c r="O266" s="19" t="s">
        <v>143</v>
      </c>
      <c r="P266" s="19" t="s">
        <v>178</v>
      </c>
      <c r="Q266" s="20">
        <f t="shared" si="4"/>
        <v>0.6</v>
      </c>
      <c r="R266" s="20">
        <f t="shared" si="5"/>
        <v>0.9117647059</v>
      </c>
      <c r="S266" s="20">
        <f t="shared" si="6"/>
        <v>0.02941176471</v>
      </c>
      <c r="T266" s="20">
        <f t="shared" si="7"/>
        <v>0.8125</v>
      </c>
      <c r="U266" s="20">
        <f>IF(B266="","",MIN(Q266/Targets!$B$2,1)*Targets!$D$2+MIN(G266/100/Targets!$B$3,1)*Targets!$D$3+MIN(T266/Targets!$B$4,1)*Targets!$D$4+MIN(R266/Targets!$B$5,1)*Targets!$D$5+MIN(N266/Targets!$B$6,1)*Targets!$D$6+MIN(Targets!$B$7/MAX(S266,0.0001),1)*Targets!$D$7)</f>
        <v>0.6147128483</v>
      </c>
    </row>
    <row r="267">
      <c r="A267" s="18">
        <v>46233.0</v>
      </c>
      <c r="B267" s="19" t="s">
        <v>53</v>
      </c>
      <c r="C267" s="19" t="s">
        <v>14</v>
      </c>
      <c r="D267" s="19" t="s">
        <v>121</v>
      </c>
      <c r="E267" s="14">
        <f t="shared" si="1"/>
        <v>15</v>
      </c>
      <c r="F267" s="19">
        <f t="shared" si="2"/>
        <v>11</v>
      </c>
      <c r="G267" s="20">
        <f t="shared" si="3"/>
        <v>0.7333333333</v>
      </c>
      <c r="H267" s="19">
        <v>33.0</v>
      </c>
      <c r="I267" s="19">
        <v>36.0</v>
      </c>
      <c r="J267" s="19">
        <v>1.0</v>
      </c>
      <c r="K267" s="19">
        <v>3.7</v>
      </c>
      <c r="L267" s="19">
        <v>43.0</v>
      </c>
      <c r="M267" s="19">
        <v>53.0</v>
      </c>
      <c r="N267" s="19">
        <v>6.5</v>
      </c>
      <c r="O267" s="19" t="s">
        <v>143</v>
      </c>
      <c r="P267" s="19" t="s">
        <v>168</v>
      </c>
      <c r="Q267" s="20">
        <f t="shared" si="4"/>
        <v>0.7333333333</v>
      </c>
      <c r="R267" s="20">
        <f t="shared" si="5"/>
        <v>0.9166666667</v>
      </c>
      <c r="S267" s="20">
        <f t="shared" si="6"/>
        <v>0.02777777778</v>
      </c>
      <c r="T267" s="20">
        <f t="shared" si="7"/>
        <v>0.8113207547</v>
      </c>
      <c r="U267" s="20">
        <f>IF(B267="","",MIN(Q267/Targets!$B$2,1)*Targets!$D$2+MIN(G267/100/Targets!$B$3,1)*Targets!$D$3+MIN(T267/Targets!$B$4,1)*Targets!$D$4+MIN(R267/Targets!$B$5,1)*Targets!$D$5+MIN(N267/Targets!$B$6,1)*Targets!$D$6+MIN(Targets!$B$7/MAX(S267,0.0001),1)*Targets!$D$7)</f>
        <v>0.6382215182</v>
      </c>
    </row>
    <row r="268">
      <c r="A268" s="18">
        <v>46233.0</v>
      </c>
      <c r="B268" s="19" t="s">
        <v>65</v>
      </c>
      <c r="C268" s="19" t="s">
        <v>167</v>
      </c>
      <c r="D268" s="19" t="s">
        <v>121</v>
      </c>
      <c r="E268" s="14">
        <f t="shared" si="1"/>
        <v>8</v>
      </c>
      <c r="F268" s="19">
        <f t="shared" si="2"/>
        <v>12</v>
      </c>
      <c r="G268" s="20">
        <f t="shared" si="3"/>
        <v>1.5</v>
      </c>
      <c r="H268" s="19">
        <v>39.0</v>
      </c>
      <c r="I268" s="19">
        <v>40.0</v>
      </c>
      <c r="J268" s="19">
        <v>2.0</v>
      </c>
      <c r="K268" s="19">
        <v>2.5</v>
      </c>
      <c r="L268" s="19">
        <v>44.0</v>
      </c>
      <c r="M268" s="19">
        <v>46.0</v>
      </c>
      <c r="N268" s="19">
        <v>8.1</v>
      </c>
      <c r="O268" s="19" t="s">
        <v>143</v>
      </c>
      <c r="P268" s="19" t="s">
        <v>191</v>
      </c>
      <c r="Q268" s="20">
        <f t="shared" si="4"/>
        <v>1.5</v>
      </c>
      <c r="R268" s="20">
        <f t="shared" si="5"/>
        <v>0.975</v>
      </c>
      <c r="S268" s="20">
        <f t="shared" si="6"/>
        <v>0.05</v>
      </c>
      <c r="T268" s="20">
        <f t="shared" si="7"/>
        <v>0.9565217391</v>
      </c>
      <c r="U268" s="20">
        <f>IF(B268="","",MIN(Q268/Targets!$B$2,1)*Targets!$D$2+MIN(G268/100/Targets!$B$3,1)*Targets!$D$3+MIN(T268/Targets!$B$4,1)*Targets!$D$4+MIN(R268/Targets!$B$5,1)*Targets!$D$5+MIN(N268/Targets!$B$6,1)*Targets!$D$6+MIN(Targets!$B$7/MAX(S268,0.0001),1)*Targets!$D$7)</f>
        <v>0.705</v>
      </c>
    </row>
    <row r="269">
      <c r="A269" s="18">
        <v>46233.0</v>
      </c>
      <c r="B269" s="19" t="s">
        <v>73</v>
      </c>
      <c r="C269" s="19" t="s">
        <v>169</v>
      </c>
      <c r="D269" s="19" t="s">
        <v>121</v>
      </c>
      <c r="E269" s="14">
        <f t="shared" si="1"/>
        <v>16</v>
      </c>
      <c r="F269" s="19">
        <f t="shared" si="2"/>
        <v>6</v>
      </c>
      <c r="G269" s="20">
        <f t="shared" si="3"/>
        <v>0.375</v>
      </c>
      <c r="H269" s="19">
        <v>20.0</v>
      </c>
      <c r="I269" s="19">
        <v>23.0</v>
      </c>
      <c r="J269" s="19">
        <v>0.0</v>
      </c>
      <c r="K269" s="19">
        <v>5.3</v>
      </c>
      <c r="L269" s="19">
        <v>32.0</v>
      </c>
      <c r="M269" s="19">
        <v>38.0</v>
      </c>
      <c r="N269" s="19">
        <v>5.3</v>
      </c>
      <c r="O269" s="19" t="s">
        <v>143</v>
      </c>
      <c r="P269" s="19" t="s">
        <v>187</v>
      </c>
      <c r="Q269" s="20">
        <f t="shared" si="4"/>
        <v>0.375</v>
      </c>
      <c r="R269" s="20">
        <f t="shared" si="5"/>
        <v>0.8695652174</v>
      </c>
      <c r="S269" s="20">
        <f t="shared" si="6"/>
        <v>0</v>
      </c>
      <c r="T269" s="20">
        <f t="shared" si="7"/>
        <v>0.8421052632</v>
      </c>
      <c r="U269" s="20">
        <f>IF(B269="","",MIN(Q269/Targets!$B$2,1)*Targets!$D$2+MIN(G269/100/Targets!$B$3,1)*Targets!$D$3+MIN(T269/Targets!$B$4,1)*Targets!$D$4+MIN(R269/Targets!$B$5,1)*Targets!$D$5+MIN(N269/Targets!$B$6,1)*Targets!$D$6+MIN(Targets!$B$7/MAX(S269,0.0001),1)*Targets!$D$7)</f>
        <v>0.5379482674</v>
      </c>
    </row>
    <row r="270">
      <c r="A270" s="18">
        <v>46233.0</v>
      </c>
      <c r="B270" s="19" t="s">
        <v>78</v>
      </c>
      <c r="C270" s="19" t="s">
        <v>171</v>
      </c>
      <c r="D270" s="19" t="s">
        <v>121</v>
      </c>
      <c r="E270" s="14">
        <f t="shared" si="1"/>
        <v>8</v>
      </c>
      <c r="F270" s="19">
        <f t="shared" si="2"/>
        <v>11</v>
      </c>
      <c r="G270" s="20">
        <f t="shared" si="3"/>
        <v>1.375</v>
      </c>
      <c r="H270" s="19">
        <v>33.0</v>
      </c>
      <c r="I270" s="19">
        <v>37.0</v>
      </c>
      <c r="J270" s="19">
        <v>2.0</v>
      </c>
      <c r="K270" s="19">
        <v>4.5</v>
      </c>
      <c r="L270" s="19">
        <v>43.0</v>
      </c>
      <c r="M270" s="19">
        <v>49.0</v>
      </c>
      <c r="N270" s="19">
        <v>7.2</v>
      </c>
      <c r="O270" s="19" t="s">
        <v>143</v>
      </c>
      <c r="P270" s="19" t="s">
        <v>191</v>
      </c>
      <c r="Q270" s="20">
        <f t="shared" si="4"/>
        <v>1.375</v>
      </c>
      <c r="R270" s="20">
        <f t="shared" si="5"/>
        <v>0.8918918919</v>
      </c>
      <c r="S270" s="20">
        <f t="shared" si="6"/>
        <v>0.05405405405</v>
      </c>
      <c r="T270" s="20">
        <f t="shared" si="7"/>
        <v>0.8775510204</v>
      </c>
      <c r="U270" s="20">
        <f>IF(B270="","",MIN(Q270/Targets!$B$2,1)*Targets!$D$2+MIN(G270/100/Targets!$B$3,1)*Targets!$D$3+MIN(T270/Targets!$B$4,1)*Targets!$D$4+MIN(R270/Targets!$B$5,1)*Targets!$D$5+MIN(N270/Targets!$B$6,1)*Targets!$D$6+MIN(Targets!$B$7/MAX(S270,0.0001),1)*Targets!$D$7)</f>
        <v>0.6841668723</v>
      </c>
    </row>
    <row r="271">
      <c r="A271" s="18">
        <v>46233.0</v>
      </c>
      <c r="B271" s="19" t="s">
        <v>84</v>
      </c>
      <c r="C271" s="19" t="s">
        <v>179</v>
      </c>
      <c r="D271" s="19" t="s">
        <v>121</v>
      </c>
      <c r="E271" s="14">
        <f t="shared" si="1"/>
        <v>10</v>
      </c>
      <c r="F271" s="19">
        <f t="shared" si="2"/>
        <v>14</v>
      </c>
      <c r="G271" s="20">
        <f t="shared" si="3"/>
        <v>1.4</v>
      </c>
      <c r="H271" s="19">
        <v>37.0</v>
      </c>
      <c r="I271" s="19">
        <v>40.0</v>
      </c>
      <c r="J271" s="19">
        <v>1.0</v>
      </c>
      <c r="K271" s="19">
        <v>4.1</v>
      </c>
      <c r="L271" s="19">
        <v>47.0</v>
      </c>
      <c r="M271" s="19">
        <v>56.0</v>
      </c>
      <c r="N271" s="19">
        <v>7.7</v>
      </c>
      <c r="O271" s="19" t="s">
        <v>143</v>
      </c>
      <c r="P271" s="19" t="s">
        <v>178</v>
      </c>
      <c r="Q271" s="20">
        <f t="shared" si="4"/>
        <v>1.4</v>
      </c>
      <c r="R271" s="20">
        <f t="shared" si="5"/>
        <v>0.925</v>
      </c>
      <c r="S271" s="20">
        <f t="shared" si="6"/>
        <v>0.025</v>
      </c>
      <c r="T271" s="20">
        <f t="shared" si="7"/>
        <v>0.8392857143</v>
      </c>
      <c r="U271" s="20">
        <f>IF(B271="","",MIN(Q271/Targets!$B$2,1)*Targets!$D$2+MIN(G271/100/Targets!$B$3,1)*Targets!$D$3+MIN(T271/Targets!$B$4,1)*Targets!$D$4+MIN(R271/Targets!$B$5,1)*Targets!$D$5+MIN(N271/Targets!$B$6,1)*Targets!$D$6+MIN(Targets!$B$7/MAX(S271,0.0001),1)*Targets!$D$7)</f>
        <v>0.6906002506</v>
      </c>
    </row>
    <row r="272">
      <c r="A272" s="18">
        <v>46233.0</v>
      </c>
      <c r="B272" s="19" t="s">
        <v>91</v>
      </c>
      <c r="C272" s="19" t="s">
        <v>188</v>
      </c>
      <c r="D272" s="19" t="s">
        <v>121</v>
      </c>
      <c r="E272" s="14">
        <f t="shared" si="1"/>
        <v>13</v>
      </c>
      <c r="F272" s="19">
        <f t="shared" si="2"/>
        <v>14</v>
      </c>
      <c r="G272" s="20">
        <f t="shared" si="3"/>
        <v>1.076923077</v>
      </c>
      <c r="H272" s="19">
        <v>48.0</v>
      </c>
      <c r="I272" s="19">
        <v>51.0</v>
      </c>
      <c r="J272" s="19">
        <v>4.0</v>
      </c>
      <c r="K272" s="19">
        <v>1.9</v>
      </c>
      <c r="L272" s="19">
        <v>47.0</v>
      </c>
      <c r="M272" s="19">
        <v>56.0</v>
      </c>
      <c r="N272" s="19">
        <v>7.5</v>
      </c>
      <c r="O272" s="19" t="s">
        <v>143</v>
      </c>
      <c r="P272" s="19" t="s">
        <v>144</v>
      </c>
      <c r="Q272" s="20">
        <f t="shared" si="4"/>
        <v>1.076923077</v>
      </c>
      <c r="R272" s="20">
        <f t="shared" si="5"/>
        <v>0.9411764706</v>
      </c>
      <c r="S272" s="20">
        <f t="shared" si="6"/>
        <v>0.07843137255</v>
      </c>
      <c r="T272" s="20">
        <f t="shared" si="7"/>
        <v>0.8392857143</v>
      </c>
      <c r="U272" s="20">
        <f>IF(B272="","",MIN(Q272/Targets!$B$2,1)*Targets!$D$2+MIN(G272/100/Targets!$B$3,1)*Targets!$D$3+MIN(T272/Targets!$B$4,1)*Targets!$D$4+MIN(R272/Targets!$B$5,1)*Targets!$D$5+MIN(N272/Targets!$B$6,1)*Targets!$D$6+MIN(Targets!$B$7/MAX(S272,0.0001),1)*Targets!$D$7)</f>
        <v>0.6558275071</v>
      </c>
    </row>
    <row r="273">
      <c r="A273" s="18">
        <v>46233.0</v>
      </c>
      <c r="B273" s="19" t="s">
        <v>100</v>
      </c>
      <c r="C273" s="19" t="s">
        <v>190</v>
      </c>
      <c r="D273" s="19" t="s">
        <v>121</v>
      </c>
      <c r="E273" s="14">
        <f t="shared" si="1"/>
        <v>15</v>
      </c>
      <c r="F273" s="19">
        <f t="shared" si="2"/>
        <v>10</v>
      </c>
      <c r="G273" s="20">
        <f t="shared" si="3"/>
        <v>0.6666666667</v>
      </c>
      <c r="H273" s="19">
        <v>38.0</v>
      </c>
      <c r="I273" s="19">
        <v>42.0</v>
      </c>
      <c r="J273" s="19">
        <v>2.0</v>
      </c>
      <c r="K273" s="19">
        <v>2.8</v>
      </c>
      <c r="L273" s="19">
        <v>47.0</v>
      </c>
      <c r="M273" s="19">
        <v>48.0</v>
      </c>
      <c r="N273" s="19">
        <v>7.2</v>
      </c>
      <c r="O273" s="19" t="s">
        <v>143</v>
      </c>
      <c r="P273" s="19" t="s">
        <v>187</v>
      </c>
      <c r="Q273" s="20">
        <f t="shared" si="4"/>
        <v>0.6666666667</v>
      </c>
      <c r="R273" s="20">
        <f t="shared" si="5"/>
        <v>0.9047619048</v>
      </c>
      <c r="S273" s="20">
        <f t="shared" si="6"/>
        <v>0.04761904762</v>
      </c>
      <c r="T273" s="20">
        <f t="shared" si="7"/>
        <v>0.9791666667</v>
      </c>
      <c r="U273" s="20">
        <f>IF(B273="","",MIN(Q273/Targets!$B$2,1)*Targets!$D$2+MIN(G273/100/Targets!$B$3,1)*Targets!$D$3+MIN(T273/Targets!$B$4,1)*Targets!$D$4+MIN(R273/Targets!$B$5,1)*Targets!$D$5+MIN(N273/Targets!$B$6,1)*Targets!$D$6+MIN(Targets!$B$7/MAX(S273,0.0001),1)*Targets!$D$7)</f>
        <v>0.6432275132</v>
      </c>
    </row>
    <row r="274">
      <c r="A274" s="18">
        <v>46233.0</v>
      </c>
      <c r="B274" s="19" t="s">
        <v>109</v>
      </c>
      <c r="C274" s="19" t="s">
        <v>14</v>
      </c>
      <c r="D274" s="19" t="s">
        <v>121</v>
      </c>
      <c r="E274" s="14">
        <f t="shared" si="1"/>
        <v>15</v>
      </c>
      <c r="F274" s="19">
        <f t="shared" si="2"/>
        <v>9</v>
      </c>
      <c r="G274" s="20">
        <f t="shared" si="3"/>
        <v>0.6</v>
      </c>
      <c r="H274" s="19">
        <v>43.0</v>
      </c>
      <c r="I274" s="19">
        <v>46.0</v>
      </c>
      <c r="J274" s="19">
        <v>1.0</v>
      </c>
      <c r="K274" s="19">
        <v>4.3</v>
      </c>
      <c r="L274" s="19">
        <v>50.0</v>
      </c>
      <c r="M274" s="19">
        <v>54.0</v>
      </c>
      <c r="N274" s="19">
        <v>6.3</v>
      </c>
      <c r="O274" s="19" t="s">
        <v>143</v>
      </c>
      <c r="P274" s="19" t="s">
        <v>186</v>
      </c>
      <c r="Q274" s="20">
        <f t="shared" si="4"/>
        <v>0.6</v>
      </c>
      <c r="R274" s="20">
        <f t="shared" si="5"/>
        <v>0.9347826087</v>
      </c>
      <c r="S274" s="20">
        <f t="shared" si="6"/>
        <v>0.02173913043</v>
      </c>
      <c r="T274" s="20">
        <f t="shared" si="7"/>
        <v>0.9259259259</v>
      </c>
      <c r="U274" s="20">
        <f>IF(B274="","",MIN(Q274/Targets!$B$2,1)*Targets!$D$2+MIN(G274/100/Targets!$B$3,1)*Targets!$D$3+MIN(T274/Targets!$B$4,1)*Targets!$D$4+MIN(R274/Targets!$B$5,1)*Targets!$D$5+MIN(N274/Targets!$B$6,1)*Targets!$D$6+MIN(Targets!$B$7/MAX(S274,0.0001),1)*Targets!$D$7)</f>
        <v>0.6229305873</v>
      </c>
    </row>
    <row r="275">
      <c r="A275" s="18">
        <v>46233.0</v>
      </c>
      <c r="B275" s="19" t="s">
        <v>115</v>
      </c>
      <c r="C275" s="19" t="s">
        <v>167</v>
      </c>
      <c r="D275" s="19" t="s">
        <v>121</v>
      </c>
      <c r="E275" s="14">
        <f t="shared" si="1"/>
        <v>12</v>
      </c>
      <c r="F275" s="19">
        <f t="shared" si="2"/>
        <v>13</v>
      </c>
      <c r="G275" s="20">
        <f t="shared" si="3"/>
        <v>1.083333333</v>
      </c>
      <c r="H275" s="19">
        <v>30.0</v>
      </c>
      <c r="I275" s="19">
        <v>34.0</v>
      </c>
      <c r="J275" s="19">
        <v>2.0</v>
      </c>
      <c r="K275" s="19">
        <v>2.9</v>
      </c>
      <c r="L275" s="19">
        <v>46.0</v>
      </c>
      <c r="M275" s="19">
        <v>49.0</v>
      </c>
      <c r="N275" s="19">
        <v>7.1</v>
      </c>
      <c r="O275" s="19" t="s">
        <v>143</v>
      </c>
      <c r="P275" s="19" t="s">
        <v>189</v>
      </c>
      <c r="Q275" s="20">
        <f t="shared" si="4"/>
        <v>1.083333333</v>
      </c>
      <c r="R275" s="20">
        <f t="shared" si="5"/>
        <v>0.8823529412</v>
      </c>
      <c r="S275" s="20">
        <f t="shared" si="6"/>
        <v>0.05882352941</v>
      </c>
      <c r="T275" s="20">
        <f t="shared" si="7"/>
        <v>0.9387755102</v>
      </c>
      <c r="U275" s="20">
        <f>IF(B275="","",MIN(Q275/Targets!$B$2,1)*Targets!$D$2+MIN(G275/100/Targets!$B$3,1)*Targets!$D$3+MIN(T275/Targets!$B$4,1)*Targets!$D$4+MIN(R275/Targets!$B$5,1)*Targets!$D$5+MIN(N275/Targets!$B$6,1)*Targets!$D$6+MIN(Targets!$B$7/MAX(S275,0.0001),1)*Targets!$D$7)</f>
        <v>0.6779299966</v>
      </c>
    </row>
    <row r="276">
      <c r="A276" s="18">
        <v>46233.0</v>
      </c>
      <c r="B276" s="19" t="s">
        <v>118</v>
      </c>
      <c r="C276" s="19" t="s">
        <v>169</v>
      </c>
      <c r="D276" s="19" t="s">
        <v>121</v>
      </c>
      <c r="E276" s="14">
        <f t="shared" si="1"/>
        <v>16</v>
      </c>
      <c r="F276" s="19">
        <f t="shared" si="2"/>
        <v>10</v>
      </c>
      <c r="G276" s="20">
        <f t="shared" si="3"/>
        <v>0.625</v>
      </c>
      <c r="H276" s="19">
        <v>50.0</v>
      </c>
      <c r="I276" s="19">
        <v>52.0</v>
      </c>
      <c r="J276" s="19">
        <v>4.0</v>
      </c>
      <c r="K276" s="19">
        <v>3.0</v>
      </c>
      <c r="L276" s="19">
        <v>53.0</v>
      </c>
      <c r="M276" s="19">
        <v>57.0</v>
      </c>
      <c r="N276" s="19">
        <v>7.7</v>
      </c>
      <c r="O276" s="19" t="s">
        <v>143</v>
      </c>
      <c r="P276" s="19" t="s">
        <v>191</v>
      </c>
      <c r="Q276" s="20">
        <f t="shared" si="4"/>
        <v>0.625</v>
      </c>
      <c r="R276" s="20">
        <f t="shared" si="5"/>
        <v>0.9615384615</v>
      </c>
      <c r="S276" s="20">
        <f t="shared" si="6"/>
        <v>0.07692307692</v>
      </c>
      <c r="T276" s="20">
        <f t="shared" si="7"/>
        <v>0.9298245614</v>
      </c>
      <c r="U276" s="20">
        <f>IF(B276="","",MIN(Q276/Targets!$B$2,1)*Targets!$D$2+MIN(G276/100/Targets!$B$3,1)*Targets!$D$3+MIN(T276/Targets!$B$4,1)*Targets!$D$4+MIN(R276/Targets!$B$5,1)*Targets!$D$5+MIN(N276/Targets!$B$6,1)*Targets!$D$6+MIN(Targets!$B$7/MAX(S276,0.0001),1)*Targets!$D$7)</f>
        <v>0.6059722222</v>
      </c>
    </row>
    <row r="277">
      <c r="A277" s="18">
        <v>46233.0</v>
      </c>
      <c r="B277" s="19" t="s">
        <v>123</v>
      </c>
      <c r="C277" s="19" t="s">
        <v>171</v>
      </c>
      <c r="D277" s="19" t="s">
        <v>121</v>
      </c>
      <c r="E277" s="14">
        <f t="shared" si="1"/>
        <v>8</v>
      </c>
      <c r="F277" s="19">
        <f t="shared" si="2"/>
        <v>12</v>
      </c>
      <c r="G277" s="20">
        <f t="shared" si="3"/>
        <v>1.5</v>
      </c>
      <c r="H277" s="19">
        <v>33.0</v>
      </c>
      <c r="I277" s="19">
        <v>35.0</v>
      </c>
      <c r="J277" s="19">
        <v>2.0</v>
      </c>
      <c r="K277" s="19">
        <v>3.8</v>
      </c>
      <c r="L277" s="19">
        <v>39.0</v>
      </c>
      <c r="M277" s="19">
        <v>43.0</v>
      </c>
      <c r="N277" s="19">
        <v>6.6</v>
      </c>
      <c r="O277" s="19" t="s">
        <v>143</v>
      </c>
      <c r="P277" s="19" t="s">
        <v>189</v>
      </c>
      <c r="Q277" s="20">
        <f t="shared" si="4"/>
        <v>1.5</v>
      </c>
      <c r="R277" s="20">
        <f t="shared" si="5"/>
        <v>0.9428571429</v>
      </c>
      <c r="S277" s="20">
        <f t="shared" si="6"/>
        <v>0.05714285714</v>
      </c>
      <c r="T277" s="20">
        <f t="shared" si="7"/>
        <v>0.9069767442</v>
      </c>
      <c r="U277" s="20">
        <f>IF(B277="","",MIN(Q277/Targets!$B$2,1)*Targets!$D$2+MIN(G277/100/Targets!$B$3,1)*Targets!$D$3+MIN(T277/Targets!$B$4,1)*Targets!$D$4+MIN(R277/Targets!$B$5,1)*Targets!$D$5+MIN(N277/Targets!$B$6,1)*Targets!$D$6+MIN(Targets!$B$7/MAX(S277,0.0001),1)*Targets!$D$7)</f>
        <v>0.6856578947</v>
      </c>
    </row>
    <row r="278">
      <c r="A278" s="18">
        <v>46233.0</v>
      </c>
      <c r="B278" s="19" t="s">
        <v>126</v>
      </c>
      <c r="C278" s="19" t="s">
        <v>179</v>
      </c>
      <c r="D278" s="19" t="s">
        <v>121</v>
      </c>
      <c r="E278" s="14">
        <f t="shared" si="1"/>
        <v>9</v>
      </c>
      <c r="F278" s="19">
        <f t="shared" si="2"/>
        <v>15</v>
      </c>
      <c r="G278" s="20">
        <f t="shared" si="3"/>
        <v>1.666666667</v>
      </c>
      <c r="H278" s="19">
        <v>42.0</v>
      </c>
      <c r="I278" s="19">
        <v>45.0</v>
      </c>
      <c r="J278" s="19">
        <v>1.0</v>
      </c>
      <c r="K278" s="19">
        <v>4.3</v>
      </c>
      <c r="L278" s="19">
        <v>52.0</v>
      </c>
      <c r="M278" s="19">
        <v>56.0</v>
      </c>
      <c r="N278" s="19">
        <v>6.6</v>
      </c>
      <c r="O278" s="19" t="s">
        <v>143</v>
      </c>
      <c r="P278" s="19" t="s">
        <v>187</v>
      </c>
      <c r="Q278" s="20">
        <f t="shared" si="4"/>
        <v>1.666666667</v>
      </c>
      <c r="R278" s="20">
        <f t="shared" si="5"/>
        <v>0.9333333333</v>
      </c>
      <c r="S278" s="20">
        <f t="shared" si="6"/>
        <v>0.02222222222</v>
      </c>
      <c r="T278" s="20">
        <f t="shared" si="7"/>
        <v>0.9285714286</v>
      </c>
      <c r="U278" s="20">
        <f>IF(B278="","",MIN(Q278/Targets!$B$2,1)*Targets!$D$2+MIN(G278/100/Targets!$B$3,1)*Targets!$D$3+MIN(T278/Targets!$B$4,1)*Targets!$D$4+MIN(R278/Targets!$B$5,1)*Targets!$D$5+MIN(N278/Targets!$B$6,1)*Targets!$D$6+MIN(Targets!$B$7/MAX(S278,0.0001),1)*Targets!$D$7)</f>
        <v>0.6972096909</v>
      </c>
    </row>
    <row r="279">
      <c r="A279" s="18">
        <v>46233.0</v>
      </c>
      <c r="B279" s="19" t="s">
        <v>129</v>
      </c>
      <c r="C279" s="19" t="s">
        <v>188</v>
      </c>
      <c r="D279" s="19" t="s">
        <v>121</v>
      </c>
      <c r="E279" s="14">
        <f t="shared" si="1"/>
        <v>13</v>
      </c>
      <c r="F279" s="19">
        <f t="shared" si="2"/>
        <v>13</v>
      </c>
      <c r="G279" s="20">
        <f t="shared" si="3"/>
        <v>1</v>
      </c>
      <c r="H279" s="19">
        <v>28.0</v>
      </c>
      <c r="I279" s="19">
        <v>35.0</v>
      </c>
      <c r="J279" s="19">
        <v>2.0</v>
      </c>
      <c r="K279" s="19">
        <v>5.3</v>
      </c>
      <c r="L279" s="19">
        <v>37.0</v>
      </c>
      <c r="M279" s="19">
        <v>51.0</v>
      </c>
      <c r="N279" s="19">
        <v>5.1</v>
      </c>
      <c r="O279" s="19" t="s">
        <v>143</v>
      </c>
      <c r="P279" s="19" t="s">
        <v>144</v>
      </c>
      <c r="Q279" s="20">
        <f t="shared" si="4"/>
        <v>1</v>
      </c>
      <c r="R279" s="20">
        <f t="shared" si="5"/>
        <v>0.8</v>
      </c>
      <c r="S279" s="20">
        <f t="shared" si="6"/>
        <v>0.05714285714</v>
      </c>
      <c r="T279" s="20">
        <f t="shared" si="7"/>
        <v>0.7254901961</v>
      </c>
      <c r="U279" s="20">
        <f>IF(B279="","",MIN(Q279/Targets!$B$2,1)*Targets!$D$2+MIN(G279/100/Targets!$B$3,1)*Targets!$D$3+MIN(T279/Targets!$B$4,1)*Targets!$D$4+MIN(R279/Targets!$B$5,1)*Targets!$D$5+MIN(N279/Targets!$B$6,1)*Targets!$D$6+MIN(Targets!$B$7/MAX(S279,0.0001),1)*Targets!$D$7)</f>
        <v>0.6109212983</v>
      </c>
    </row>
    <row r="280">
      <c r="A280" s="18">
        <v>46233.0</v>
      </c>
      <c r="B280" s="19" t="s">
        <v>132</v>
      </c>
      <c r="C280" s="19" t="s">
        <v>190</v>
      </c>
      <c r="D280" s="19" t="s">
        <v>121</v>
      </c>
      <c r="E280" s="14">
        <f t="shared" si="1"/>
        <v>6</v>
      </c>
      <c r="F280" s="19">
        <f t="shared" si="2"/>
        <v>12</v>
      </c>
      <c r="G280" s="20">
        <f t="shared" si="3"/>
        <v>2</v>
      </c>
      <c r="H280" s="19">
        <v>38.0</v>
      </c>
      <c r="I280" s="19">
        <v>40.0</v>
      </c>
      <c r="J280" s="19">
        <v>3.0</v>
      </c>
      <c r="K280" s="19">
        <v>1.9</v>
      </c>
      <c r="L280" s="19">
        <v>47.0</v>
      </c>
      <c r="M280" s="19">
        <v>55.0</v>
      </c>
      <c r="N280" s="19">
        <v>8.3</v>
      </c>
      <c r="O280" s="19" t="s">
        <v>143</v>
      </c>
      <c r="P280" s="19" t="s">
        <v>189</v>
      </c>
      <c r="Q280" s="20">
        <f t="shared" si="4"/>
        <v>2</v>
      </c>
      <c r="R280" s="20">
        <f t="shared" si="5"/>
        <v>0.95</v>
      </c>
      <c r="S280" s="20">
        <f t="shared" si="6"/>
        <v>0.075</v>
      </c>
      <c r="T280" s="20">
        <f t="shared" si="7"/>
        <v>0.8545454545</v>
      </c>
      <c r="U280" s="20">
        <f>IF(B280="","",MIN(Q280/Targets!$B$2,1)*Targets!$D$2+MIN(G280/100/Targets!$B$3,1)*Targets!$D$3+MIN(T280/Targets!$B$4,1)*Targets!$D$4+MIN(R280/Targets!$B$5,1)*Targets!$D$5+MIN(N280/Targets!$B$6,1)*Targets!$D$6+MIN(Targets!$B$7/MAX(S280,0.0001),1)*Targets!$D$7)</f>
        <v>0.6657575758</v>
      </c>
    </row>
    <row r="281">
      <c r="A281" s="18">
        <v>46233.0</v>
      </c>
      <c r="B281" s="19" t="s">
        <v>135</v>
      </c>
      <c r="C281" s="19" t="s">
        <v>169</v>
      </c>
      <c r="D281" s="19" t="s">
        <v>121</v>
      </c>
      <c r="E281" s="14">
        <f t="shared" si="1"/>
        <v>13</v>
      </c>
      <c r="F281" s="19">
        <f t="shared" si="2"/>
        <v>9</v>
      </c>
      <c r="G281" s="20">
        <f t="shared" si="3"/>
        <v>0.6923076923</v>
      </c>
      <c r="H281" s="19">
        <v>24.0</v>
      </c>
      <c r="I281" s="19">
        <v>30.0</v>
      </c>
      <c r="J281" s="19">
        <v>2.0</v>
      </c>
      <c r="K281" s="19">
        <v>5.5</v>
      </c>
      <c r="L281" s="19">
        <v>34.0</v>
      </c>
      <c r="M281" s="19">
        <v>45.0</v>
      </c>
      <c r="N281" s="19">
        <v>5.9</v>
      </c>
      <c r="O281" s="19" t="s">
        <v>143</v>
      </c>
      <c r="P281" s="19" t="s">
        <v>187</v>
      </c>
      <c r="Q281" s="20">
        <f t="shared" si="4"/>
        <v>0.6923076923</v>
      </c>
      <c r="R281" s="20">
        <f t="shared" si="5"/>
        <v>0.8</v>
      </c>
      <c r="S281" s="20">
        <f t="shared" si="6"/>
        <v>0.06666666667</v>
      </c>
      <c r="T281" s="20">
        <f t="shared" si="7"/>
        <v>0.7555555556</v>
      </c>
      <c r="U281" s="20">
        <f>IF(B281="","",MIN(Q281/Targets!$B$2,1)*Targets!$D$2+MIN(G281/100/Targets!$B$3,1)*Targets!$D$3+MIN(T281/Targets!$B$4,1)*Targets!$D$4+MIN(R281/Targets!$B$5,1)*Targets!$D$5+MIN(N281/Targets!$B$6,1)*Targets!$D$6+MIN(Targets!$B$7/MAX(S281,0.0001),1)*Targets!$D$7)</f>
        <v>0.5676812758</v>
      </c>
    </row>
    <row r="282">
      <c r="A282" s="18">
        <v>46234.0</v>
      </c>
      <c r="B282" s="19" t="s">
        <v>10</v>
      </c>
      <c r="C282" s="19" t="s">
        <v>14</v>
      </c>
      <c r="D282" s="19" t="s">
        <v>121</v>
      </c>
      <c r="E282" s="14">
        <f t="shared" si="1"/>
        <v>11</v>
      </c>
      <c r="F282" s="19">
        <f t="shared" si="2"/>
        <v>7</v>
      </c>
      <c r="G282" s="20">
        <f t="shared" si="3"/>
        <v>0.6363636364</v>
      </c>
      <c r="H282" s="19">
        <v>45.0</v>
      </c>
      <c r="I282" s="19">
        <v>51.0</v>
      </c>
      <c r="J282" s="19">
        <v>3.0</v>
      </c>
      <c r="K282" s="19">
        <v>3.2</v>
      </c>
      <c r="L282" s="19">
        <v>53.0</v>
      </c>
      <c r="M282" s="19">
        <v>58.0</v>
      </c>
      <c r="N282" s="19">
        <v>6.8</v>
      </c>
      <c r="O282" s="19" t="s">
        <v>143</v>
      </c>
      <c r="P282" s="19" t="s">
        <v>178</v>
      </c>
      <c r="Q282" s="20">
        <f t="shared" si="4"/>
        <v>0.6363636364</v>
      </c>
      <c r="R282" s="20">
        <f t="shared" si="5"/>
        <v>0.8823529412</v>
      </c>
      <c r="S282" s="20">
        <f t="shared" si="6"/>
        <v>0.05882352941</v>
      </c>
      <c r="T282" s="20">
        <f t="shared" si="7"/>
        <v>0.9137931034</v>
      </c>
      <c r="U282" s="20">
        <f>IF(B282="","",MIN(Q282/Targets!$B$2,1)*Targets!$D$2+MIN(G282/100/Targets!$B$3,1)*Targets!$D$3+MIN(T282/Targets!$B$4,1)*Targets!$D$4+MIN(R282/Targets!$B$5,1)*Targets!$D$5+MIN(N282/Targets!$B$6,1)*Targets!$D$6+MIN(Targets!$B$7/MAX(S282,0.0001),1)*Targets!$D$7)</f>
        <v>0.6149970961</v>
      </c>
    </row>
    <row r="283">
      <c r="A283" s="18">
        <v>46234.0</v>
      </c>
      <c r="B283" s="19" t="s">
        <v>25</v>
      </c>
      <c r="C283" s="19" t="s">
        <v>167</v>
      </c>
      <c r="D283" s="19" t="s">
        <v>121</v>
      </c>
      <c r="E283" s="14">
        <f t="shared" si="1"/>
        <v>12</v>
      </c>
      <c r="F283" s="19">
        <f t="shared" si="2"/>
        <v>11</v>
      </c>
      <c r="G283" s="20">
        <f t="shared" si="3"/>
        <v>0.9166666667</v>
      </c>
      <c r="H283" s="19">
        <v>43.0</v>
      </c>
      <c r="I283" s="19">
        <v>46.0</v>
      </c>
      <c r="J283" s="19">
        <v>2.0</v>
      </c>
      <c r="K283" s="19">
        <v>2.6</v>
      </c>
      <c r="L283" s="19">
        <v>44.0</v>
      </c>
      <c r="M283" s="19">
        <v>52.0</v>
      </c>
      <c r="N283" s="19">
        <v>7.5</v>
      </c>
      <c r="O283" s="19" t="s">
        <v>143</v>
      </c>
      <c r="P283" s="19" t="s">
        <v>168</v>
      </c>
      <c r="Q283" s="20">
        <f t="shared" si="4"/>
        <v>0.9166666667</v>
      </c>
      <c r="R283" s="20">
        <f t="shared" si="5"/>
        <v>0.9347826087</v>
      </c>
      <c r="S283" s="20">
        <f t="shared" si="6"/>
        <v>0.04347826087</v>
      </c>
      <c r="T283" s="20">
        <f t="shared" si="7"/>
        <v>0.8461538462</v>
      </c>
      <c r="U283" s="20">
        <f>IF(B283="","",MIN(Q283/Targets!$B$2,1)*Targets!$D$2+MIN(G283/100/Targets!$B$3,1)*Targets!$D$3+MIN(T283/Targets!$B$4,1)*Targets!$D$4+MIN(R283/Targets!$B$5,1)*Targets!$D$5+MIN(N283/Targets!$B$6,1)*Targets!$D$6+MIN(Targets!$B$7/MAX(S283,0.0001),1)*Targets!$D$7)</f>
        <v>0.6916784506</v>
      </c>
    </row>
    <row r="284">
      <c r="A284" s="18">
        <v>46234.0</v>
      </c>
      <c r="B284" s="19" t="s">
        <v>37</v>
      </c>
      <c r="C284" s="19" t="s">
        <v>169</v>
      </c>
      <c r="D284" s="19" t="s">
        <v>121</v>
      </c>
      <c r="E284" s="14">
        <f t="shared" si="1"/>
        <v>6</v>
      </c>
      <c r="F284" s="19">
        <f t="shared" si="2"/>
        <v>13</v>
      </c>
      <c r="G284" s="20">
        <f t="shared" si="3"/>
        <v>2.166666667</v>
      </c>
      <c r="H284" s="19">
        <v>28.0</v>
      </c>
      <c r="I284" s="19">
        <v>29.0</v>
      </c>
      <c r="J284" s="19">
        <v>1.0</v>
      </c>
      <c r="K284" s="19">
        <v>3.8</v>
      </c>
      <c r="L284" s="19">
        <v>35.0</v>
      </c>
      <c r="M284" s="19">
        <v>42.0</v>
      </c>
      <c r="N284" s="19">
        <v>7.0</v>
      </c>
      <c r="O284" s="19" t="s">
        <v>143</v>
      </c>
      <c r="P284" s="19" t="s">
        <v>186</v>
      </c>
      <c r="Q284" s="20">
        <f t="shared" si="4"/>
        <v>2.166666667</v>
      </c>
      <c r="R284" s="20">
        <f t="shared" si="5"/>
        <v>0.9655172414</v>
      </c>
      <c r="S284" s="20">
        <f t="shared" si="6"/>
        <v>0.03448275862</v>
      </c>
      <c r="T284" s="20">
        <f t="shared" si="7"/>
        <v>0.8333333333</v>
      </c>
      <c r="U284" s="20">
        <f>IF(B284="","",MIN(Q284/Targets!$B$2,1)*Targets!$D$2+MIN(G284/100/Targets!$B$3,1)*Targets!$D$3+MIN(T284/Targets!$B$4,1)*Targets!$D$4+MIN(R284/Targets!$B$5,1)*Targets!$D$5+MIN(N284/Targets!$B$6,1)*Targets!$D$6+MIN(Targets!$B$7/MAX(S284,0.0001),1)*Targets!$D$7)</f>
        <v>0.6961111111</v>
      </c>
    </row>
    <row r="285">
      <c r="A285" s="18">
        <v>46234.0</v>
      </c>
      <c r="B285" s="19" t="s">
        <v>42</v>
      </c>
      <c r="C285" s="19" t="s">
        <v>171</v>
      </c>
      <c r="D285" s="19" t="s">
        <v>121</v>
      </c>
      <c r="E285" s="14">
        <f t="shared" si="1"/>
        <v>9</v>
      </c>
      <c r="F285" s="19">
        <f t="shared" si="2"/>
        <v>7</v>
      </c>
      <c r="G285" s="20">
        <f t="shared" si="3"/>
        <v>0.7777777778</v>
      </c>
      <c r="H285" s="19">
        <v>61.0</v>
      </c>
      <c r="I285" s="19">
        <v>64.0</v>
      </c>
      <c r="J285" s="19">
        <v>2.0</v>
      </c>
      <c r="K285" s="19">
        <v>2.5</v>
      </c>
      <c r="L285" s="19">
        <v>61.0</v>
      </c>
      <c r="M285" s="19">
        <v>65.0</v>
      </c>
      <c r="N285" s="19">
        <v>8.0</v>
      </c>
      <c r="O285" s="19" t="s">
        <v>143</v>
      </c>
      <c r="P285" s="19" t="s">
        <v>191</v>
      </c>
      <c r="Q285" s="20">
        <f t="shared" si="4"/>
        <v>0.7777777778</v>
      </c>
      <c r="R285" s="20">
        <f t="shared" si="5"/>
        <v>0.953125</v>
      </c>
      <c r="S285" s="20">
        <f t="shared" si="6"/>
        <v>0.03125</v>
      </c>
      <c r="T285" s="20">
        <f t="shared" si="7"/>
        <v>0.9384615385</v>
      </c>
      <c r="U285" s="20">
        <f>IF(B285="","",MIN(Q285/Targets!$B$2,1)*Targets!$D$2+MIN(G285/100/Targets!$B$3,1)*Targets!$D$3+MIN(T285/Targets!$B$4,1)*Targets!$D$4+MIN(R285/Targets!$B$5,1)*Targets!$D$5+MIN(N285/Targets!$B$6,1)*Targets!$D$6+MIN(Targets!$B$7/MAX(S285,0.0001),1)*Targets!$D$7)</f>
        <v>0.6754320988</v>
      </c>
    </row>
    <row r="286">
      <c r="A286" s="18">
        <v>46234.0</v>
      </c>
      <c r="B286" s="19" t="s">
        <v>46</v>
      </c>
      <c r="C286" s="19" t="s">
        <v>179</v>
      </c>
      <c r="D286" s="19" t="s">
        <v>121</v>
      </c>
      <c r="E286" s="14">
        <f t="shared" si="1"/>
        <v>15</v>
      </c>
      <c r="F286" s="19">
        <f t="shared" si="2"/>
        <v>7</v>
      </c>
      <c r="G286" s="20">
        <f t="shared" si="3"/>
        <v>0.4666666667</v>
      </c>
      <c r="H286" s="19">
        <v>45.0</v>
      </c>
      <c r="I286" s="19">
        <v>47.0</v>
      </c>
      <c r="J286" s="19">
        <v>4.0</v>
      </c>
      <c r="K286" s="19">
        <v>2.3</v>
      </c>
      <c r="L286" s="19">
        <v>45.0</v>
      </c>
      <c r="M286" s="19">
        <v>50.0</v>
      </c>
      <c r="N286" s="19">
        <v>8.1</v>
      </c>
      <c r="O286" s="19" t="s">
        <v>143</v>
      </c>
      <c r="P286" s="19" t="s">
        <v>189</v>
      </c>
      <c r="Q286" s="20">
        <f t="shared" si="4"/>
        <v>0.4666666667</v>
      </c>
      <c r="R286" s="20">
        <f t="shared" si="5"/>
        <v>0.9574468085</v>
      </c>
      <c r="S286" s="20">
        <f t="shared" si="6"/>
        <v>0.08510638298</v>
      </c>
      <c r="T286" s="20">
        <f t="shared" si="7"/>
        <v>0.9</v>
      </c>
      <c r="U286" s="20">
        <f>IF(B286="","",MIN(Q286/Targets!$B$2,1)*Targets!$D$2+MIN(G286/100/Targets!$B$3,1)*Targets!$D$3+MIN(T286/Targets!$B$4,1)*Targets!$D$4+MIN(R286/Targets!$B$5,1)*Targets!$D$5+MIN(N286/Targets!$B$6,1)*Targets!$D$6+MIN(Targets!$B$7/MAX(S286,0.0001),1)*Targets!$D$7)</f>
        <v>0.5640092593</v>
      </c>
    </row>
    <row r="287">
      <c r="A287" s="18">
        <v>46234.0</v>
      </c>
      <c r="B287" s="19" t="s">
        <v>53</v>
      </c>
      <c r="C287" s="19" t="s">
        <v>14</v>
      </c>
      <c r="D287" s="19" t="s">
        <v>121</v>
      </c>
      <c r="E287" s="14">
        <f t="shared" si="1"/>
        <v>8</v>
      </c>
      <c r="F287" s="19">
        <f t="shared" si="2"/>
        <v>8</v>
      </c>
      <c r="G287" s="20">
        <f t="shared" si="3"/>
        <v>1</v>
      </c>
      <c r="H287" s="19">
        <v>31.0</v>
      </c>
      <c r="I287" s="19">
        <v>34.0</v>
      </c>
      <c r="J287" s="19">
        <v>1.0</v>
      </c>
      <c r="K287" s="19">
        <v>2.7</v>
      </c>
      <c r="L287" s="19">
        <v>39.0</v>
      </c>
      <c r="M287" s="19">
        <v>44.0</v>
      </c>
      <c r="N287" s="19">
        <v>6.9</v>
      </c>
      <c r="O287" s="19" t="s">
        <v>143</v>
      </c>
      <c r="P287" s="19" t="s">
        <v>191</v>
      </c>
      <c r="Q287" s="20">
        <f t="shared" si="4"/>
        <v>1</v>
      </c>
      <c r="R287" s="20">
        <f t="shared" si="5"/>
        <v>0.9117647059</v>
      </c>
      <c r="S287" s="20">
        <f t="shared" si="6"/>
        <v>0.02941176471</v>
      </c>
      <c r="T287" s="20">
        <f t="shared" si="7"/>
        <v>0.8863636364</v>
      </c>
      <c r="U287" s="20">
        <f>IF(B287="","",MIN(Q287/Targets!$B$2,1)*Targets!$D$2+MIN(G287/100/Targets!$B$3,1)*Targets!$D$3+MIN(T287/Targets!$B$4,1)*Targets!$D$4+MIN(R287/Targets!$B$5,1)*Targets!$D$5+MIN(N287/Targets!$B$6,1)*Targets!$D$6+MIN(Targets!$B$7/MAX(S287,0.0001),1)*Targets!$D$7)</f>
        <v>0.6935948829</v>
      </c>
    </row>
    <row r="288">
      <c r="A288" s="18">
        <v>46234.0</v>
      </c>
      <c r="B288" s="19" t="s">
        <v>65</v>
      </c>
      <c r="C288" s="19" t="s">
        <v>167</v>
      </c>
      <c r="D288" s="19" t="s">
        <v>121</v>
      </c>
      <c r="E288" s="14">
        <f t="shared" si="1"/>
        <v>15</v>
      </c>
      <c r="F288" s="19">
        <f t="shared" si="2"/>
        <v>6</v>
      </c>
      <c r="G288" s="20">
        <f t="shared" si="3"/>
        <v>0.4</v>
      </c>
      <c r="H288" s="19">
        <v>39.0</v>
      </c>
      <c r="I288" s="19">
        <v>41.0</v>
      </c>
      <c r="J288" s="19">
        <v>3.0</v>
      </c>
      <c r="K288" s="19">
        <v>3.0</v>
      </c>
      <c r="L288" s="19">
        <v>49.0</v>
      </c>
      <c r="M288" s="19">
        <v>55.0</v>
      </c>
      <c r="N288" s="19">
        <v>7.1</v>
      </c>
      <c r="O288" s="19" t="s">
        <v>143</v>
      </c>
      <c r="P288" s="19" t="s">
        <v>187</v>
      </c>
      <c r="Q288" s="20">
        <f t="shared" si="4"/>
        <v>0.4</v>
      </c>
      <c r="R288" s="20">
        <f t="shared" si="5"/>
        <v>0.9512195122</v>
      </c>
      <c r="S288" s="20">
        <f t="shared" si="6"/>
        <v>0.07317073171</v>
      </c>
      <c r="T288" s="20">
        <f t="shared" si="7"/>
        <v>0.8909090909</v>
      </c>
      <c r="U288" s="20">
        <f>IF(B288="","",MIN(Q288/Targets!$B$2,1)*Targets!$D$2+MIN(G288/100/Targets!$B$3,1)*Targets!$D$3+MIN(T288/Targets!$B$4,1)*Targets!$D$4+MIN(R288/Targets!$B$5,1)*Targets!$D$5+MIN(N288/Targets!$B$6,1)*Targets!$D$6+MIN(Targets!$B$7/MAX(S288,0.0001),1)*Targets!$D$7)</f>
        <v>0.557040404</v>
      </c>
    </row>
    <row r="289">
      <c r="A289" s="18">
        <v>46234.0</v>
      </c>
      <c r="B289" s="19" t="s">
        <v>73</v>
      </c>
      <c r="C289" s="19" t="s">
        <v>169</v>
      </c>
      <c r="D289" s="19" t="s">
        <v>121</v>
      </c>
      <c r="E289" s="14">
        <f t="shared" si="1"/>
        <v>16</v>
      </c>
      <c r="F289" s="19">
        <f t="shared" si="2"/>
        <v>8</v>
      </c>
      <c r="G289" s="20">
        <f t="shared" si="3"/>
        <v>0.5</v>
      </c>
      <c r="H289" s="19">
        <v>29.0</v>
      </c>
      <c r="I289" s="19">
        <v>33.0</v>
      </c>
      <c r="J289" s="19">
        <v>2.0</v>
      </c>
      <c r="K289" s="19">
        <v>3.2</v>
      </c>
      <c r="L289" s="19">
        <v>41.0</v>
      </c>
      <c r="M289" s="19">
        <v>46.0</v>
      </c>
      <c r="N289" s="19">
        <v>7.6</v>
      </c>
      <c r="O289" s="19" t="s">
        <v>143</v>
      </c>
      <c r="P289" s="19" t="s">
        <v>178</v>
      </c>
      <c r="Q289" s="20">
        <f t="shared" si="4"/>
        <v>0.5</v>
      </c>
      <c r="R289" s="20">
        <f t="shared" si="5"/>
        <v>0.8787878788</v>
      </c>
      <c r="S289" s="20">
        <f t="shared" si="6"/>
        <v>0.06060606061</v>
      </c>
      <c r="T289" s="20">
        <f t="shared" si="7"/>
        <v>0.8913043478</v>
      </c>
      <c r="U289" s="20">
        <f>IF(B289="","",MIN(Q289/Targets!$B$2,1)*Targets!$D$2+MIN(G289/100/Targets!$B$3,1)*Targets!$D$3+MIN(T289/Targets!$B$4,1)*Targets!$D$4+MIN(R289/Targets!$B$5,1)*Targets!$D$5+MIN(N289/Targets!$B$6,1)*Targets!$D$6+MIN(Targets!$B$7/MAX(S289,0.0001),1)*Targets!$D$7)</f>
        <v>0.5825844833</v>
      </c>
    </row>
    <row r="290">
      <c r="A290" s="18">
        <v>46234.0</v>
      </c>
      <c r="B290" s="19" t="s">
        <v>78</v>
      </c>
      <c r="C290" s="19" t="s">
        <v>171</v>
      </c>
      <c r="D290" s="19" t="s">
        <v>121</v>
      </c>
      <c r="E290" s="14">
        <f t="shared" si="1"/>
        <v>7</v>
      </c>
      <c r="F290" s="19">
        <f t="shared" si="2"/>
        <v>11</v>
      </c>
      <c r="G290" s="20">
        <f t="shared" si="3"/>
        <v>1.571428571</v>
      </c>
      <c r="H290" s="19">
        <v>38.0</v>
      </c>
      <c r="I290" s="19">
        <v>40.0</v>
      </c>
      <c r="J290" s="19">
        <v>2.0</v>
      </c>
      <c r="K290" s="19">
        <v>1.9</v>
      </c>
      <c r="L290" s="19">
        <v>51.0</v>
      </c>
      <c r="M290" s="19">
        <v>55.0</v>
      </c>
      <c r="N290" s="19">
        <v>7.5</v>
      </c>
      <c r="O290" s="19" t="s">
        <v>143</v>
      </c>
      <c r="P290" s="19" t="s">
        <v>186</v>
      </c>
      <c r="Q290" s="20">
        <f t="shared" si="4"/>
        <v>1.571428571</v>
      </c>
      <c r="R290" s="20">
        <f t="shared" si="5"/>
        <v>0.95</v>
      </c>
      <c r="S290" s="20">
        <f t="shared" si="6"/>
        <v>0.05</v>
      </c>
      <c r="T290" s="20">
        <f t="shared" si="7"/>
        <v>0.9272727273</v>
      </c>
      <c r="U290" s="20">
        <f>IF(B290="","",MIN(Q290/Targets!$B$2,1)*Targets!$D$2+MIN(G290/100/Targets!$B$3,1)*Targets!$D$3+MIN(T290/Targets!$B$4,1)*Targets!$D$4+MIN(R290/Targets!$B$5,1)*Targets!$D$5+MIN(N290/Targets!$B$6,1)*Targets!$D$6+MIN(Targets!$B$7/MAX(S290,0.0001),1)*Targets!$D$7)</f>
        <v>0.7052380952</v>
      </c>
    </row>
    <row r="291">
      <c r="A291" s="18">
        <v>46234.0</v>
      </c>
      <c r="B291" s="19" t="s">
        <v>84</v>
      </c>
      <c r="C291" s="19" t="s">
        <v>179</v>
      </c>
      <c r="D291" s="19" t="s">
        <v>121</v>
      </c>
      <c r="E291" s="14">
        <f t="shared" si="1"/>
        <v>11</v>
      </c>
      <c r="F291" s="19">
        <f t="shared" si="2"/>
        <v>10</v>
      </c>
      <c r="G291" s="20">
        <f t="shared" si="3"/>
        <v>0.9090909091</v>
      </c>
      <c r="H291" s="19">
        <v>44.0</v>
      </c>
      <c r="I291" s="19">
        <v>48.0</v>
      </c>
      <c r="J291" s="19">
        <v>1.0</v>
      </c>
      <c r="K291" s="19">
        <v>4.3</v>
      </c>
      <c r="L291" s="19">
        <v>46.0</v>
      </c>
      <c r="M291" s="19">
        <v>50.0</v>
      </c>
      <c r="N291" s="19">
        <v>8.0</v>
      </c>
      <c r="O291" s="19" t="s">
        <v>143</v>
      </c>
      <c r="P291" s="19" t="s">
        <v>189</v>
      </c>
      <c r="Q291" s="20">
        <f t="shared" si="4"/>
        <v>0.9090909091</v>
      </c>
      <c r="R291" s="20">
        <f t="shared" si="5"/>
        <v>0.9166666667</v>
      </c>
      <c r="S291" s="20">
        <f t="shared" si="6"/>
        <v>0.02083333333</v>
      </c>
      <c r="T291" s="20">
        <f t="shared" si="7"/>
        <v>0.92</v>
      </c>
      <c r="U291" s="20">
        <f>IF(B291="","",MIN(Q291/Targets!$B$2,1)*Targets!$D$2+MIN(G291/100/Targets!$B$3,1)*Targets!$D$3+MIN(T291/Targets!$B$4,1)*Targets!$D$4+MIN(R291/Targets!$B$5,1)*Targets!$D$5+MIN(N291/Targets!$B$6,1)*Targets!$D$6+MIN(Targets!$B$7/MAX(S291,0.0001),1)*Targets!$D$7)</f>
        <v>0.6977671451</v>
      </c>
    </row>
    <row r="292">
      <c r="A292" s="18">
        <v>46234.0</v>
      </c>
      <c r="B292" s="19" t="s">
        <v>91</v>
      </c>
      <c r="C292" s="19" t="s">
        <v>188</v>
      </c>
      <c r="D292" s="19" t="s">
        <v>121</v>
      </c>
      <c r="E292" s="14">
        <f t="shared" si="1"/>
        <v>16</v>
      </c>
      <c r="F292" s="19">
        <f t="shared" si="2"/>
        <v>14</v>
      </c>
      <c r="G292" s="20">
        <f t="shared" si="3"/>
        <v>0.875</v>
      </c>
      <c r="H292" s="19">
        <v>35.0</v>
      </c>
      <c r="I292" s="19">
        <v>40.0</v>
      </c>
      <c r="J292" s="19">
        <v>0.0</v>
      </c>
      <c r="K292" s="19">
        <v>4.1</v>
      </c>
      <c r="L292" s="19">
        <v>47.0</v>
      </c>
      <c r="M292" s="19">
        <v>60.0</v>
      </c>
      <c r="N292" s="19">
        <v>7.8</v>
      </c>
      <c r="O292" s="19" t="s">
        <v>143</v>
      </c>
      <c r="P292" s="19" t="s">
        <v>189</v>
      </c>
      <c r="Q292" s="20">
        <f t="shared" si="4"/>
        <v>0.875</v>
      </c>
      <c r="R292" s="20">
        <f t="shared" si="5"/>
        <v>0.875</v>
      </c>
      <c r="S292" s="20">
        <f t="shared" si="6"/>
        <v>0</v>
      </c>
      <c r="T292" s="20">
        <f t="shared" si="7"/>
        <v>0.7833333333</v>
      </c>
      <c r="U292" s="20">
        <f>IF(B292="","",MIN(Q292/Targets!$B$2,1)*Targets!$D$2+MIN(G292/100/Targets!$B$3,1)*Targets!$D$3+MIN(T292/Targets!$B$4,1)*Targets!$D$4+MIN(R292/Targets!$B$5,1)*Targets!$D$5+MIN(N292/Targets!$B$6,1)*Targets!$D$6+MIN(Targets!$B$7/MAX(S292,0.0001),1)*Targets!$D$7)</f>
        <v>0.6660745614</v>
      </c>
    </row>
    <row r="293">
      <c r="A293" s="18">
        <v>46234.0</v>
      </c>
      <c r="B293" s="19" t="s">
        <v>100</v>
      </c>
      <c r="C293" s="19" t="s">
        <v>190</v>
      </c>
      <c r="D293" s="19" t="s">
        <v>121</v>
      </c>
      <c r="E293" s="14">
        <f t="shared" si="1"/>
        <v>8</v>
      </c>
      <c r="F293" s="19">
        <f t="shared" si="2"/>
        <v>11</v>
      </c>
      <c r="G293" s="20">
        <f t="shared" si="3"/>
        <v>1.375</v>
      </c>
      <c r="H293" s="19">
        <v>28.0</v>
      </c>
      <c r="I293" s="19">
        <v>32.0</v>
      </c>
      <c r="J293" s="19">
        <v>1.0</v>
      </c>
      <c r="K293" s="19">
        <v>3.7</v>
      </c>
      <c r="L293" s="19">
        <v>42.0</v>
      </c>
      <c r="M293" s="19">
        <v>49.0</v>
      </c>
      <c r="N293" s="19">
        <v>7.1</v>
      </c>
      <c r="O293" s="19" t="s">
        <v>143</v>
      </c>
      <c r="P293" s="19" t="s">
        <v>178</v>
      </c>
      <c r="Q293" s="20">
        <f t="shared" si="4"/>
        <v>1.375</v>
      </c>
      <c r="R293" s="20">
        <f t="shared" si="5"/>
        <v>0.875</v>
      </c>
      <c r="S293" s="20">
        <f t="shared" si="6"/>
        <v>0.03125</v>
      </c>
      <c r="T293" s="20">
        <f t="shared" si="7"/>
        <v>0.8571428571</v>
      </c>
      <c r="U293" s="20">
        <f>IF(B293="","",MIN(Q293/Targets!$B$2,1)*Targets!$D$2+MIN(G293/100/Targets!$B$3,1)*Targets!$D$3+MIN(T293/Targets!$B$4,1)*Targets!$D$4+MIN(R293/Targets!$B$5,1)*Targets!$D$5+MIN(N293/Targets!$B$6,1)*Targets!$D$6+MIN(Targets!$B$7/MAX(S293,0.0001),1)*Targets!$D$7)</f>
        <v>0.6855983709</v>
      </c>
    </row>
    <row r="294">
      <c r="A294" s="18">
        <v>46234.0</v>
      </c>
      <c r="B294" s="19" t="s">
        <v>109</v>
      </c>
      <c r="C294" s="19" t="s">
        <v>14</v>
      </c>
      <c r="D294" s="19" t="s">
        <v>121</v>
      </c>
      <c r="E294" s="14">
        <f t="shared" si="1"/>
        <v>13</v>
      </c>
      <c r="F294" s="19">
        <f t="shared" si="2"/>
        <v>13</v>
      </c>
      <c r="G294" s="20">
        <f t="shared" si="3"/>
        <v>1</v>
      </c>
      <c r="H294" s="19">
        <v>40.0</v>
      </c>
      <c r="I294" s="19">
        <v>43.0</v>
      </c>
      <c r="J294" s="19">
        <v>2.0</v>
      </c>
      <c r="K294" s="19">
        <v>3.6</v>
      </c>
      <c r="L294" s="19">
        <v>42.0</v>
      </c>
      <c r="M294" s="19">
        <v>46.0</v>
      </c>
      <c r="N294" s="19">
        <v>7.7</v>
      </c>
      <c r="O294" s="19" t="s">
        <v>143</v>
      </c>
      <c r="P294" s="19" t="s">
        <v>178</v>
      </c>
      <c r="Q294" s="20">
        <f t="shared" si="4"/>
        <v>1</v>
      </c>
      <c r="R294" s="20">
        <f t="shared" si="5"/>
        <v>0.9302325581</v>
      </c>
      <c r="S294" s="20">
        <f t="shared" si="6"/>
        <v>0.04651162791</v>
      </c>
      <c r="T294" s="20">
        <f t="shared" si="7"/>
        <v>0.9130434783</v>
      </c>
      <c r="U294" s="20">
        <f>IF(B294="","",MIN(Q294/Targets!$B$2,1)*Targets!$D$2+MIN(G294/100/Targets!$B$3,1)*Targets!$D$3+MIN(T294/Targets!$B$4,1)*Targets!$D$4+MIN(R294/Targets!$B$5,1)*Targets!$D$5+MIN(N294/Targets!$B$6,1)*Targets!$D$6+MIN(Targets!$B$7/MAX(S294,0.0001),1)*Targets!$D$7)</f>
        <v>0.7002121583</v>
      </c>
    </row>
    <row r="295">
      <c r="A295" s="18">
        <v>46234.0</v>
      </c>
      <c r="B295" s="19" t="s">
        <v>115</v>
      </c>
      <c r="C295" s="19" t="s">
        <v>167</v>
      </c>
      <c r="D295" s="19" t="s">
        <v>121</v>
      </c>
      <c r="E295" s="14">
        <f t="shared" si="1"/>
        <v>11</v>
      </c>
      <c r="F295" s="19">
        <f t="shared" si="2"/>
        <v>14</v>
      </c>
      <c r="G295" s="20">
        <f t="shared" si="3"/>
        <v>1.272727273</v>
      </c>
      <c r="H295" s="19">
        <v>41.0</v>
      </c>
      <c r="I295" s="19">
        <v>45.0</v>
      </c>
      <c r="J295" s="19">
        <v>2.0</v>
      </c>
      <c r="K295" s="19">
        <v>3.3</v>
      </c>
      <c r="L295" s="19">
        <v>48.0</v>
      </c>
      <c r="M295" s="19">
        <v>56.0</v>
      </c>
      <c r="N295" s="19">
        <v>7.3</v>
      </c>
      <c r="O295" s="19" t="s">
        <v>143</v>
      </c>
      <c r="P295" s="19" t="s">
        <v>168</v>
      </c>
      <c r="Q295" s="20">
        <f t="shared" si="4"/>
        <v>1.272727273</v>
      </c>
      <c r="R295" s="20">
        <f t="shared" si="5"/>
        <v>0.9111111111</v>
      </c>
      <c r="S295" s="20">
        <f t="shared" si="6"/>
        <v>0.04444444444</v>
      </c>
      <c r="T295" s="20">
        <f t="shared" si="7"/>
        <v>0.8571428571</v>
      </c>
      <c r="U295" s="20">
        <f>IF(B295="","",MIN(Q295/Targets!$B$2,1)*Targets!$D$2+MIN(G295/100/Targets!$B$3,1)*Targets!$D$3+MIN(T295/Targets!$B$4,1)*Targets!$D$4+MIN(R295/Targets!$B$5,1)*Targets!$D$5+MIN(N295/Targets!$B$6,1)*Targets!$D$6+MIN(Targets!$B$7/MAX(S295,0.0001),1)*Targets!$D$7)</f>
        <v>0.6909592162</v>
      </c>
    </row>
    <row r="296">
      <c r="A296" s="18">
        <v>46234.0</v>
      </c>
      <c r="B296" s="19" t="s">
        <v>118</v>
      </c>
      <c r="C296" s="19" t="s">
        <v>169</v>
      </c>
      <c r="D296" s="19" t="s">
        <v>121</v>
      </c>
      <c r="E296" s="14">
        <f t="shared" si="1"/>
        <v>9</v>
      </c>
      <c r="F296" s="19">
        <f t="shared" si="2"/>
        <v>14</v>
      </c>
      <c r="G296" s="20">
        <f t="shared" si="3"/>
        <v>1.555555556</v>
      </c>
      <c r="H296" s="19">
        <v>33.0</v>
      </c>
      <c r="I296" s="19">
        <v>38.0</v>
      </c>
      <c r="J296" s="19">
        <v>2.0</v>
      </c>
      <c r="K296" s="19">
        <v>4.4</v>
      </c>
      <c r="L296" s="19">
        <v>42.0</v>
      </c>
      <c r="M296" s="19">
        <v>51.0</v>
      </c>
      <c r="N296" s="19">
        <v>7.8</v>
      </c>
      <c r="O296" s="19" t="s">
        <v>143</v>
      </c>
      <c r="P296" s="19" t="s">
        <v>191</v>
      </c>
      <c r="Q296" s="20">
        <f t="shared" si="4"/>
        <v>1.555555556</v>
      </c>
      <c r="R296" s="20">
        <f t="shared" si="5"/>
        <v>0.8684210526</v>
      </c>
      <c r="S296" s="20">
        <f t="shared" si="6"/>
        <v>0.05263157895</v>
      </c>
      <c r="T296" s="20">
        <f t="shared" si="7"/>
        <v>0.8235294118</v>
      </c>
      <c r="U296" s="20">
        <f>IF(B296="","",MIN(Q296/Targets!$B$2,1)*Targets!$D$2+MIN(G296/100/Targets!$B$3,1)*Targets!$D$3+MIN(T296/Targets!$B$4,1)*Targets!$D$4+MIN(R296/Targets!$B$5,1)*Targets!$D$5+MIN(N296/Targets!$B$6,1)*Targets!$D$6+MIN(Targets!$B$7/MAX(S296,0.0001),1)*Targets!$D$7)</f>
        <v>0.6745592007</v>
      </c>
    </row>
    <row r="297">
      <c r="A297" s="18">
        <v>46234.0</v>
      </c>
      <c r="B297" s="19" t="s">
        <v>123</v>
      </c>
      <c r="C297" s="19" t="s">
        <v>171</v>
      </c>
      <c r="D297" s="19" t="s">
        <v>121</v>
      </c>
      <c r="E297" s="14">
        <f t="shared" si="1"/>
        <v>6</v>
      </c>
      <c r="F297" s="19">
        <f t="shared" si="2"/>
        <v>6</v>
      </c>
      <c r="G297" s="20">
        <f t="shared" si="3"/>
        <v>1</v>
      </c>
      <c r="H297" s="19">
        <v>38.0</v>
      </c>
      <c r="I297" s="19">
        <v>40.0</v>
      </c>
      <c r="J297" s="19">
        <v>3.0</v>
      </c>
      <c r="K297" s="19">
        <v>3.8</v>
      </c>
      <c r="L297" s="19">
        <v>42.0</v>
      </c>
      <c r="M297" s="19">
        <v>47.0</v>
      </c>
      <c r="N297" s="19">
        <v>7.8</v>
      </c>
      <c r="O297" s="19" t="s">
        <v>143</v>
      </c>
      <c r="P297" s="19" t="s">
        <v>168</v>
      </c>
      <c r="Q297" s="20">
        <f t="shared" si="4"/>
        <v>1</v>
      </c>
      <c r="R297" s="20">
        <f t="shared" si="5"/>
        <v>0.95</v>
      </c>
      <c r="S297" s="20">
        <f t="shared" si="6"/>
        <v>0.075</v>
      </c>
      <c r="T297" s="20">
        <f t="shared" si="7"/>
        <v>0.8936170213</v>
      </c>
      <c r="U297" s="20">
        <f>IF(B297="","",MIN(Q297/Targets!$B$2,1)*Targets!$D$2+MIN(G297/100/Targets!$B$3,1)*Targets!$D$3+MIN(T297/Targets!$B$4,1)*Targets!$D$4+MIN(R297/Targets!$B$5,1)*Targets!$D$5+MIN(N297/Targets!$B$6,1)*Targets!$D$6+MIN(Targets!$B$7/MAX(S297,0.0001),1)*Targets!$D$7)</f>
        <v>0.6689361702</v>
      </c>
    </row>
    <row r="298">
      <c r="A298" s="18">
        <v>46234.0</v>
      </c>
      <c r="B298" s="19" t="s">
        <v>126</v>
      </c>
      <c r="C298" s="19" t="s">
        <v>179</v>
      </c>
      <c r="D298" s="19" t="s">
        <v>121</v>
      </c>
      <c r="E298" s="14">
        <f t="shared" si="1"/>
        <v>7</v>
      </c>
      <c r="F298" s="19">
        <f t="shared" si="2"/>
        <v>11</v>
      </c>
      <c r="G298" s="20">
        <f t="shared" si="3"/>
        <v>1.571428571</v>
      </c>
      <c r="H298" s="19">
        <v>24.0</v>
      </c>
      <c r="I298" s="19">
        <v>29.0</v>
      </c>
      <c r="J298" s="19">
        <v>1.0</v>
      </c>
      <c r="K298" s="19">
        <v>6.0</v>
      </c>
      <c r="L298" s="19">
        <v>34.0</v>
      </c>
      <c r="M298" s="19">
        <v>46.0</v>
      </c>
      <c r="N298" s="19">
        <v>7.0</v>
      </c>
      <c r="O298" s="19" t="s">
        <v>143</v>
      </c>
      <c r="P298" s="19" t="s">
        <v>178</v>
      </c>
      <c r="Q298" s="20">
        <f t="shared" si="4"/>
        <v>1.571428571</v>
      </c>
      <c r="R298" s="20">
        <f t="shared" si="5"/>
        <v>0.8275862069</v>
      </c>
      <c r="S298" s="20">
        <f t="shared" si="6"/>
        <v>0.03448275862</v>
      </c>
      <c r="T298" s="20">
        <f t="shared" si="7"/>
        <v>0.7391304348</v>
      </c>
      <c r="U298" s="20">
        <f>IF(B298="","",MIN(Q298/Targets!$B$2,1)*Targets!$D$2+MIN(G298/100/Targets!$B$3,1)*Targets!$D$3+MIN(T298/Targets!$B$4,1)*Targets!$D$4+MIN(R298/Targets!$B$5,1)*Targets!$D$5+MIN(N298/Targets!$B$6,1)*Targets!$D$6+MIN(Targets!$B$7/MAX(S298,0.0001),1)*Targets!$D$7)</f>
        <v>0.6590980074</v>
      </c>
    </row>
    <row r="299">
      <c r="A299" s="18">
        <v>46234.0</v>
      </c>
      <c r="B299" s="19" t="s">
        <v>129</v>
      </c>
      <c r="C299" s="19" t="s">
        <v>188</v>
      </c>
      <c r="D299" s="19" t="s">
        <v>121</v>
      </c>
      <c r="E299" s="14">
        <f t="shared" si="1"/>
        <v>6</v>
      </c>
      <c r="F299" s="19">
        <f t="shared" si="2"/>
        <v>11</v>
      </c>
      <c r="G299" s="20">
        <f t="shared" si="3"/>
        <v>1.833333333</v>
      </c>
      <c r="H299" s="19">
        <v>20.0</v>
      </c>
      <c r="I299" s="19">
        <v>24.0</v>
      </c>
      <c r="J299" s="19">
        <v>2.0</v>
      </c>
      <c r="K299" s="19">
        <v>6.3</v>
      </c>
      <c r="L299" s="19">
        <v>26.0</v>
      </c>
      <c r="M299" s="19">
        <v>36.0</v>
      </c>
      <c r="N299" s="19">
        <v>5.2</v>
      </c>
      <c r="O299" s="19" t="s">
        <v>143</v>
      </c>
      <c r="P299" s="19" t="s">
        <v>189</v>
      </c>
      <c r="Q299" s="20">
        <f t="shared" si="4"/>
        <v>1.833333333</v>
      </c>
      <c r="R299" s="20">
        <f t="shared" si="5"/>
        <v>0.8333333333</v>
      </c>
      <c r="S299" s="20">
        <f t="shared" si="6"/>
        <v>0.08333333333</v>
      </c>
      <c r="T299" s="20">
        <f t="shared" si="7"/>
        <v>0.7222222222</v>
      </c>
      <c r="U299" s="20">
        <f>IF(B299="","",MIN(Q299/Targets!$B$2,1)*Targets!$D$2+MIN(G299/100/Targets!$B$3,1)*Targets!$D$3+MIN(T299/Targets!$B$4,1)*Targets!$D$4+MIN(R299/Targets!$B$5,1)*Targets!$D$5+MIN(N299/Targets!$B$6,1)*Targets!$D$6+MIN(Targets!$B$7/MAX(S299,0.0001),1)*Targets!$D$7)</f>
        <v>0.5923461431</v>
      </c>
    </row>
    <row r="300">
      <c r="A300" s="18">
        <v>46234.0</v>
      </c>
      <c r="B300" s="19" t="s">
        <v>132</v>
      </c>
      <c r="C300" s="19" t="s">
        <v>190</v>
      </c>
      <c r="D300" s="19" t="s">
        <v>121</v>
      </c>
      <c r="E300" s="14">
        <f t="shared" si="1"/>
        <v>16</v>
      </c>
      <c r="F300" s="19">
        <f t="shared" si="2"/>
        <v>14</v>
      </c>
      <c r="G300" s="20">
        <f t="shared" si="3"/>
        <v>0.875</v>
      </c>
      <c r="H300" s="19">
        <v>50.0</v>
      </c>
      <c r="I300" s="19">
        <v>53.0</v>
      </c>
      <c r="J300" s="19">
        <v>2.0</v>
      </c>
      <c r="K300" s="19">
        <v>1.8</v>
      </c>
      <c r="L300" s="19">
        <v>54.0</v>
      </c>
      <c r="M300" s="19">
        <v>58.0</v>
      </c>
      <c r="N300" s="19">
        <v>7.9</v>
      </c>
      <c r="O300" s="19" t="s">
        <v>143</v>
      </c>
      <c r="P300" s="19" t="s">
        <v>187</v>
      </c>
      <c r="Q300" s="20">
        <f t="shared" si="4"/>
        <v>0.875</v>
      </c>
      <c r="R300" s="20">
        <f t="shared" si="5"/>
        <v>0.9433962264</v>
      </c>
      <c r="S300" s="20">
        <f t="shared" si="6"/>
        <v>0.03773584906</v>
      </c>
      <c r="T300" s="20">
        <f t="shared" si="7"/>
        <v>0.9310344828</v>
      </c>
      <c r="U300" s="20">
        <f>IF(B300="","",MIN(Q300/Targets!$B$2,1)*Targets!$D$2+MIN(G300/100/Targets!$B$3,1)*Targets!$D$3+MIN(T300/Targets!$B$4,1)*Targets!$D$4+MIN(R300/Targets!$B$5,1)*Targets!$D$5+MIN(N300/Targets!$B$6,1)*Targets!$D$6+MIN(Targets!$B$7/MAX(S300,0.0001),1)*Targets!$D$7)</f>
        <v>0.69631841</v>
      </c>
    </row>
    <row r="301">
      <c r="A301" s="18">
        <v>46234.0</v>
      </c>
      <c r="B301" s="19" t="s">
        <v>135</v>
      </c>
      <c r="C301" s="19" t="s">
        <v>169</v>
      </c>
      <c r="D301" s="19" t="s">
        <v>121</v>
      </c>
      <c r="E301" s="14">
        <f t="shared" si="1"/>
        <v>13</v>
      </c>
      <c r="F301" s="19">
        <f t="shared" si="2"/>
        <v>10</v>
      </c>
      <c r="G301" s="20">
        <f t="shared" si="3"/>
        <v>0.7692307692</v>
      </c>
      <c r="H301" s="19">
        <v>27.0</v>
      </c>
      <c r="I301" s="19">
        <v>32.0</v>
      </c>
      <c r="J301" s="19">
        <v>1.0</v>
      </c>
      <c r="K301" s="19">
        <v>5.6</v>
      </c>
      <c r="L301" s="19">
        <v>36.0</v>
      </c>
      <c r="M301" s="19">
        <v>54.0</v>
      </c>
      <c r="N301" s="19">
        <v>6.4</v>
      </c>
      <c r="O301" s="19" t="s">
        <v>143</v>
      </c>
      <c r="P301" s="19" t="s">
        <v>191</v>
      </c>
      <c r="Q301" s="20">
        <f t="shared" si="4"/>
        <v>0.7692307692</v>
      </c>
      <c r="R301" s="20">
        <f t="shared" si="5"/>
        <v>0.84375</v>
      </c>
      <c r="S301" s="20">
        <f t="shared" si="6"/>
        <v>0.03125</v>
      </c>
      <c r="T301" s="20">
        <f t="shared" si="7"/>
        <v>0.6666666667</v>
      </c>
      <c r="U301" s="20">
        <f>IF(B301="","",MIN(Q301/Targets!$B$2,1)*Targets!$D$2+MIN(G301/100/Targets!$B$3,1)*Targets!$D$3+MIN(T301/Targets!$B$4,1)*Targets!$D$4+MIN(R301/Targets!$B$5,1)*Targets!$D$5+MIN(N301/Targets!$B$6,1)*Targets!$D$6+MIN(Targets!$B$7/MAX(S301,0.0001),1)*Targets!$D$7)</f>
        <v>0.6092676403</v>
      </c>
    </row>
    <row r="302">
      <c r="A302" s="18">
        <v>46237.0</v>
      </c>
      <c r="B302" s="19" t="s">
        <v>10</v>
      </c>
      <c r="C302" s="19" t="s">
        <v>14</v>
      </c>
      <c r="D302" s="19" t="s">
        <v>121</v>
      </c>
      <c r="E302" s="14">
        <f t="shared" si="1"/>
        <v>7</v>
      </c>
      <c r="F302" s="19">
        <f t="shared" si="2"/>
        <v>9</v>
      </c>
      <c r="G302" s="20">
        <f t="shared" si="3"/>
        <v>1.285714286</v>
      </c>
      <c r="H302" s="19">
        <v>24.0</v>
      </c>
      <c r="I302" s="19">
        <v>27.0</v>
      </c>
      <c r="J302" s="19">
        <v>2.0</v>
      </c>
      <c r="K302" s="19">
        <v>4.2</v>
      </c>
      <c r="L302" s="19">
        <v>38.0</v>
      </c>
      <c r="M302" s="19">
        <v>45.0</v>
      </c>
      <c r="N302" s="19">
        <v>7.7</v>
      </c>
      <c r="O302" s="19" t="s">
        <v>143</v>
      </c>
      <c r="P302" s="19" t="s">
        <v>191</v>
      </c>
      <c r="Q302" s="20">
        <f t="shared" si="4"/>
        <v>1.285714286</v>
      </c>
      <c r="R302" s="20">
        <f t="shared" si="5"/>
        <v>0.8888888889</v>
      </c>
      <c r="S302" s="20">
        <f t="shared" si="6"/>
        <v>0.07407407407</v>
      </c>
      <c r="T302" s="20">
        <f t="shared" si="7"/>
        <v>0.8444444444</v>
      </c>
      <c r="U302" s="20">
        <f>IF(B302="","",MIN(Q302/Targets!$B$2,1)*Targets!$D$2+MIN(G302/100/Targets!$B$3,1)*Targets!$D$3+MIN(T302/Targets!$B$4,1)*Targets!$D$4+MIN(R302/Targets!$B$5,1)*Targets!$D$5+MIN(N302/Targets!$B$6,1)*Targets!$D$6+MIN(Targets!$B$7/MAX(S302,0.0001),1)*Targets!$D$7)</f>
        <v>0.6528773322</v>
      </c>
    </row>
    <row r="303">
      <c r="A303" s="18">
        <v>46237.0</v>
      </c>
      <c r="B303" s="19" t="s">
        <v>25</v>
      </c>
      <c r="C303" s="19" t="s">
        <v>167</v>
      </c>
      <c r="D303" s="19" t="s">
        <v>121</v>
      </c>
      <c r="E303" s="14">
        <f t="shared" si="1"/>
        <v>12</v>
      </c>
      <c r="F303" s="19">
        <f t="shared" si="2"/>
        <v>9</v>
      </c>
      <c r="G303" s="20">
        <f t="shared" si="3"/>
        <v>0.75</v>
      </c>
      <c r="H303" s="19">
        <v>47.0</v>
      </c>
      <c r="I303" s="19">
        <v>50.0</v>
      </c>
      <c r="J303" s="19">
        <v>1.0</v>
      </c>
      <c r="K303" s="19">
        <v>2.1</v>
      </c>
      <c r="L303" s="19">
        <v>55.0</v>
      </c>
      <c r="M303" s="19">
        <v>63.0</v>
      </c>
      <c r="N303" s="19">
        <v>7.9</v>
      </c>
      <c r="O303" s="19" t="s">
        <v>143</v>
      </c>
      <c r="P303" s="19" t="s">
        <v>186</v>
      </c>
      <c r="Q303" s="20">
        <f t="shared" si="4"/>
        <v>0.75</v>
      </c>
      <c r="R303" s="20">
        <f t="shared" si="5"/>
        <v>0.94</v>
      </c>
      <c r="S303" s="20">
        <f t="shared" si="6"/>
        <v>0.02</v>
      </c>
      <c r="T303" s="20">
        <f t="shared" si="7"/>
        <v>0.873015873</v>
      </c>
      <c r="U303" s="20">
        <f>IF(B303="","",MIN(Q303/Targets!$B$2,1)*Targets!$D$2+MIN(G303/100/Targets!$B$3,1)*Targets!$D$3+MIN(T303/Targets!$B$4,1)*Targets!$D$4+MIN(R303/Targets!$B$5,1)*Targets!$D$5+MIN(N303/Targets!$B$6,1)*Targets!$D$6+MIN(Targets!$B$7/MAX(S303,0.0001),1)*Targets!$D$7)</f>
        <v>0.6630903648</v>
      </c>
    </row>
    <row r="304">
      <c r="A304" s="18">
        <v>46237.0</v>
      </c>
      <c r="B304" s="19" t="s">
        <v>37</v>
      </c>
      <c r="C304" s="19" t="s">
        <v>169</v>
      </c>
      <c r="D304" s="19" t="s">
        <v>121</v>
      </c>
      <c r="E304" s="14">
        <f t="shared" si="1"/>
        <v>13</v>
      </c>
      <c r="F304" s="19">
        <f t="shared" si="2"/>
        <v>8</v>
      </c>
      <c r="G304" s="20">
        <f t="shared" si="3"/>
        <v>0.6153846154</v>
      </c>
      <c r="H304" s="19">
        <v>21.0</v>
      </c>
      <c r="I304" s="19">
        <v>24.0</v>
      </c>
      <c r="J304" s="19">
        <v>1.0</v>
      </c>
      <c r="K304" s="19">
        <v>5.0</v>
      </c>
      <c r="L304" s="19">
        <v>31.0</v>
      </c>
      <c r="M304" s="19">
        <v>43.0</v>
      </c>
      <c r="N304" s="19">
        <v>6.8</v>
      </c>
      <c r="O304" s="19" t="s">
        <v>143</v>
      </c>
      <c r="P304" s="19" t="s">
        <v>178</v>
      </c>
      <c r="Q304" s="20">
        <f t="shared" si="4"/>
        <v>0.6153846154</v>
      </c>
      <c r="R304" s="20">
        <f t="shared" si="5"/>
        <v>0.875</v>
      </c>
      <c r="S304" s="20">
        <f t="shared" si="6"/>
        <v>0.04166666667</v>
      </c>
      <c r="T304" s="20">
        <f t="shared" si="7"/>
        <v>0.7209302326</v>
      </c>
      <c r="U304" s="20">
        <f>IF(B304="","",MIN(Q304/Targets!$B$2,1)*Targets!$D$2+MIN(G304/100/Targets!$B$3,1)*Targets!$D$3+MIN(T304/Targets!$B$4,1)*Targets!$D$4+MIN(R304/Targets!$B$5,1)*Targets!$D$5+MIN(N304/Targets!$B$6,1)*Targets!$D$6+MIN(Targets!$B$7/MAX(S304,0.0001),1)*Targets!$D$7)</f>
        <v>0.5942592094</v>
      </c>
    </row>
    <row r="305">
      <c r="A305" s="18">
        <v>46237.0</v>
      </c>
      <c r="B305" s="19" t="s">
        <v>42</v>
      </c>
      <c r="C305" s="19" t="s">
        <v>171</v>
      </c>
      <c r="D305" s="19" t="s">
        <v>121</v>
      </c>
      <c r="E305" s="14">
        <f t="shared" si="1"/>
        <v>8</v>
      </c>
      <c r="F305" s="19">
        <f t="shared" si="2"/>
        <v>11</v>
      </c>
      <c r="G305" s="20">
        <f t="shared" si="3"/>
        <v>1.375</v>
      </c>
      <c r="H305" s="19">
        <v>0.0</v>
      </c>
      <c r="I305" s="19">
        <v>0.0</v>
      </c>
      <c r="J305" s="19">
        <v>0.0</v>
      </c>
      <c r="K305" s="19">
        <v>0.0</v>
      </c>
      <c r="L305" s="19">
        <v>0.0</v>
      </c>
      <c r="M305" s="19">
        <v>0.0</v>
      </c>
      <c r="N305" s="19">
        <v>0.0</v>
      </c>
      <c r="O305" s="19" t="s">
        <v>205</v>
      </c>
      <c r="P305" s="19" t="s">
        <v>205</v>
      </c>
      <c r="Q305" s="20">
        <f t="shared" si="4"/>
        <v>1.375</v>
      </c>
      <c r="R305" s="20">
        <f t="shared" si="5"/>
        <v>0</v>
      </c>
      <c r="S305" s="20">
        <f t="shared" si="6"/>
        <v>0</v>
      </c>
      <c r="T305" s="20">
        <f t="shared" si="7"/>
        <v>0</v>
      </c>
      <c r="U305" s="20">
        <f>IF(B305="","",MIN(Q305/Targets!$B$2,1)*Targets!$D$2+MIN(G305/100/Targets!$B$3,1)*Targets!$D$3+MIN(T305/Targets!$B$4,1)*Targets!$D$4+MIN(R305/Targets!$B$5,1)*Targets!$D$5+MIN(N305/Targets!$B$6,1)*Targets!$D$6+MIN(Targets!$B$7/MAX(S305,0.0001),1)*Targets!$D$7)</f>
        <v>0.3045833333</v>
      </c>
    </row>
    <row r="306">
      <c r="A306" s="18">
        <v>46237.0</v>
      </c>
      <c r="B306" s="19" t="s">
        <v>46</v>
      </c>
      <c r="C306" s="19" t="s">
        <v>179</v>
      </c>
      <c r="D306" s="19" t="s">
        <v>121</v>
      </c>
      <c r="E306" s="14">
        <f t="shared" si="1"/>
        <v>15</v>
      </c>
      <c r="F306" s="19">
        <f t="shared" si="2"/>
        <v>14</v>
      </c>
      <c r="G306" s="20">
        <f t="shared" si="3"/>
        <v>0.9333333333</v>
      </c>
      <c r="H306" s="19">
        <v>0.0</v>
      </c>
      <c r="I306" s="19">
        <v>0.0</v>
      </c>
      <c r="J306" s="19">
        <v>0.0</v>
      </c>
      <c r="K306" s="19">
        <v>0.0</v>
      </c>
      <c r="L306" s="19">
        <v>0.0</v>
      </c>
      <c r="M306" s="19">
        <v>0.0</v>
      </c>
      <c r="N306" s="19">
        <v>0.0</v>
      </c>
      <c r="O306" s="19" t="s">
        <v>205</v>
      </c>
      <c r="P306" s="19" t="s">
        <v>205</v>
      </c>
      <c r="Q306" s="20">
        <f t="shared" si="4"/>
        <v>0.9333333333</v>
      </c>
      <c r="R306" s="20">
        <f t="shared" si="5"/>
        <v>0</v>
      </c>
      <c r="S306" s="20">
        <f t="shared" si="6"/>
        <v>0</v>
      </c>
      <c r="T306" s="20">
        <f t="shared" si="7"/>
        <v>0</v>
      </c>
      <c r="U306" s="20">
        <f>IF(B306="","",MIN(Q306/Targets!$B$2,1)*Targets!$D$2+MIN(G306/100/Targets!$B$3,1)*Targets!$D$3+MIN(T306/Targets!$B$4,1)*Targets!$D$4+MIN(R306/Targets!$B$5,1)*Targets!$D$5+MIN(N306/Targets!$B$6,1)*Targets!$D$6+MIN(Targets!$B$7/MAX(S306,0.0001),1)*Targets!$D$7)</f>
        <v>0.3031111111</v>
      </c>
    </row>
    <row r="307">
      <c r="A307" s="18">
        <v>46237.0</v>
      </c>
      <c r="B307" s="19" t="s">
        <v>53</v>
      </c>
      <c r="C307" s="19" t="s">
        <v>14</v>
      </c>
      <c r="D307" s="19" t="s">
        <v>121</v>
      </c>
      <c r="E307" s="14">
        <f t="shared" si="1"/>
        <v>6</v>
      </c>
      <c r="F307" s="19">
        <f t="shared" si="2"/>
        <v>8</v>
      </c>
      <c r="G307" s="20">
        <f t="shared" si="3"/>
        <v>1.333333333</v>
      </c>
      <c r="H307" s="19">
        <v>32.0</v>
      </c>
      <c r="I307" s="19">
        <v>39.0</v>
      </c>
      <c r="J307" s="19">
        <v>2.0</v>
      </c>
      <c r="K307" s="19">
        <v>5.2</v>
      </c>
      <c r="L307" s="19">
        <v>41.0</v>
      </c>
      <c r="M307" s="19">
        <v>52.0</v>
      </c>
      <c r="N307" s="19">
        <v>5.3</v>
      </c>
      <c r="O307" s="19" t="s">
        <v>143</v>
      </c>
      <c r="P307" s="19" t="s">
        <v>186</v>
      </c>
      <c r="Q307" s="20">
        <f t="shared" si="4"/>
        <v>1.333333333</v>
      </c>
      <c r="R307" s="20">
        <f t="shared" si="5"/>
        <v>0.8205128205</v>
      </c>
      <c r="S307" s="20">
        <f t="shared" si="6"/>
        <v>0.05128205128</v>
      </c>
      <c r="T307" s="20">
        <f t="shared" si="7"/>
        <v>0.7884615385</v>
      </c>
      <c r="U307" s="20">
        <f>IF(B307="","",MIN(Q307/Targets!$B$2,1)*Targets!$D$2+MIN(G307/100/Targets!$B$3,1)*Targets!$D$3+MIN(T307/Targets!$B$4,1)*Targets!$D$4+MIN(R307/Targets!$B$5,1)*Targets!$D$5+MIN(N307/Targets!$B$6,1)*Targets!$D$6+MIN(Targets!$B$7/MAX(S307,0.0001),1)*Targets!$D$7)</f>
        <v>0.6386236424</v>
      </c>
    </row>
    <row r="308">
      <c r="A308" s="18">
        <v>46237.0</v>
      </c>
      <c r="B308" s="19" t="s">
        <v>65</v>
      </c>
      <c r="C308" s="19" t="s">
        <v>167</v>
      </c>
      <c r="D308" s="19" t="s">
        <v>121</v>
      </c>
      <c r="E308" s="14">
        <f t="shared" si="1"/>
        <v>8</v>
      </c>
      <c r="F308" s="19">
        <f t="shared" si="2"/>
        <v>11</v>
      </c>
      <c r="G308" s="20">
        <f t="shared" si="3"/>
        <v>1.375</v>
      </c>
      <c r="H308" s="19">
        <v>54.0</v>
      </c>
      <c r="I308" s="19">
        <v>58.0</v>
      </c>
      <c r="J308" s="19">
        <v>4.0</v>
      </c>
      <c r="K308" s="19">
        <v>2.7</v>
      </c>
      <c r="L308" s="19">
        <v>33.0</v>
      </c>
      <c r="M308" s="19">
        <v>35.0</v>
      </c>
      <c r="N308" s="19">
        <v>4.6</v>
      </c>
      <c r="O308" s="19" t="s">
        <v>200</v>
      </c>
      <c r="P308" s="19" t="s">
        <v>189</v>
      </c>
      <c r="Q308" s="20">
        <f t="shared" si="4"/>
        <v>1.375</v>
      </c>
      <c r="R308" s="20">
        <f t="shared" si="5"/>
        <v>0.9310344828</v>
      </c>
      <c r="S308" s="20">
        <f t="shared" si="6"/>
        <v>0.06896551724</v>
      </c>
      <c r="T308" s="20">
        <f t="shared" si="7"/>
        <v>0.9428571429</v>
      </c>
      <c r="U308" s="20">
        <f>IF(B308="","",MIN(Q308/Targets!$B$2,1)*Targets!$D$2+MIN(G308/100/Targets!$B$3,1)*Targets!$D$3+MIN(T308/Targets!$B$4,1)*Targets!$D$4+MIN(R308/Targets!$B$5,1)*Targets!$D$5+MIN(N308/Targets!$B$6,1)*Targets!$D$6+MIN(Targets!$B$7/MAX(S308,0.0001),1)*Targets!$D$7)</f>
        <v>0.6398030637</v>
      </c>
    </row>
    <row r="309">
      <c r="A309" s="18">
        <v>46237.0</v>
      </c>
      <c r="B309" s="19" t="s">
        <v>73</v>
      </c>
      <c r="C309" s="19" t="s">
        <v>169</v>
      </c>
      <c r="D309" s="19" t="s">
        <v>121</v>
      </c>
      <c r="E309" s="14">
        <f t="shared" si="1"/>
        <v>15</v>
      </c>
      <c r="F309" s="19">
        <f t="shared" si="2"/>
        <v>11</v>
      </c>
      <c r="G309" s="20">
        <f t="shared" si="3"/>
        <v>0.7333333333</v>
      </c>
      <c r="H309" s="19">
        <v>55.0</v>
      </c>
      <c r="I309" s="19">
        <v>58.0</v>
      </c>
      <c r="J309" s="19">
        <v>3.0</v>
      </c>
      <c r="K309" s="19">
        <v>2.9</v>
      </c>
      <c r="L309" s="19">
        <v>57.0</v>
      </c>
      <c r="M309" s="19">
        <v>63.0</v>
      </c>
      <c r="N309" s="19">
        <v>7.7</v>
      </c>
      <c r="O309" s="19" t="s">
        <v>143</v>
      </c>
      <c r="P309" s="19" t="s">
        <v>168</v>
      </c>
      <c r="Q309" s="20">
        <f t="shared" si="4"/>
        <v>0.7333333333</v>
      </c>
      <c r="R309" s="20">
        <f t="shared" si="5"/>
        <v>0.9482758621</v>
      </c>
      <c r="S309" s="20">
        <f t="shared" si="6"/>
        <v>0.05172413793</v>
      </c>
      <c r="T309" s="20">
        <f t="shared" si="7"/>
        <v>0.9047619048</v>
      </c>
      <c r="U309" s="20">
        <f>IF(B309="","",MIN(Q309/Targets!$B$2,1)*Targets!$D$2+MIN(G309/100/Targets!$B$3,1)*Targets!$D$3+MIN(T309/Targets!$B$4,1)*Targets!$D$4+MIN(R309/Targets!$B$5,1)*Targets!$D$5+MIN(N309/Targets!$B$6,1)*Targets!$D$6+MIN(Targets!$B$7/MAX(S309,0.0001),1)*Targets!$D$7)</f>
        <v>0.6618018418</v>
      </c>
    </row>
    <row r="310">
      <c r="A310" s="18">
        <v>46237.0</v>
      </c>
      <c r="B310" s="19" t="s">
        <v>78</v>
      </c>
      <c r="C310" s="19" t="s">
        <v>171</v>
      </c>
      <c r="D310" s="19" t="s">
        <v>121</v>
      </c>
      <c r="E310" s="14">
        <f t="shared" si="1"/>
        <v>6</v>
      </c>
      <c r="F310" s="19">
        <f t="shared" si="2"/>
        <v>9</v>
      </c>
      <c r="G310" s="20">
        <f t="shared" si="3"/>
        <v>1.5</v>
      </c>
      <c r="H310" s="19">
        <v>42.0</v>
      </c>
      <c r="I310" s="19">
        <v>45.0</v>
      </c>
      <c r="J310" s="19">
        <v>4.0</v>
      </c>
      <c r="K310" s="19">
        <v>1.5</v>
      </c>
      <c r="L310" s="19">
        <v>52.0</v>
      </c>
      <c r="M310" s="19">
        <v>55.0</v>
      </c>
      <c r="N310" s="19">
        <v>7.8</v>
      </c>
      <c r="O310" s="19" t="s">
        <v>143</v>
      </c>
      <c r="P310" s="19" t="s">
        <v>144</v>
      </c>
      <c r="Q310" s="20">
        <f t="shared" si="4"/>
        <v>1.5</v>
      </c>
      <c r="R310" s="20">
        <f t="shared" si="5"/>
        <v>0.9333333333</v>
      </c>
      <c r="S310" s="20">
        <f t="shared" si="6"/>
        <v>0.08888888889</v>
      </c>
      <c r="T310" s="20">
        <f t="shared" si="7"/>
        <v>0.9454545455</v>
      </c>
      <c r="U310" s="20">
        <f>IF(B310="","",MIN(Q310/Targets!$B$2,1)*Targets!$D$2+MIN(G310/100/Targets!$B$3,1)*Targets!$D$3+MIN(T310/Targets!$B$4,1)*Targets!$D$4+MIN(R310/Targets!$B$5,1)*Targets!$D$5+MIN(N310/Targets!$B$6,1)*Targets!$D$6+MIN(Targets!$B$7/MAX(S310,0.0001),1)*Targets!$D$7)</f>
        <v>0.6586184211</v>
      </c>
    </row>
    <row r="311">
      <c r="A311" s="18">
        <v>46237.0</v>
      </c>
      <c r="B311" s="19" t="s">
        <v>84</v>
      </c>
      <c r="C311" s="19" t="s">
        <v>179</v>
      </c>
      <c r="D311" s="19" t="s">
        <v>121</v>
      </c>
      <c r="E311" s="14">
        <f t="shared" si="1"/>
        <v>16</v>
      </c>
      <c r="F311" s="19">
        <f t="shared" si="2"/>
        <v>10</v>
      </c>
      <c r="G311" s="20">
        <f t="shared" si="3"/>
        <v>0.625</v>
      </c>
      <c r="H311" s="19">
        <v>34.0</v>
      </c>
      <c r="I311" s="19">
        <v>36.0</v>
      </c>
      <c r="J311" s="19">
        <v>2.0</v>
      </c>
      <c r="K311" s="19">
        <v>2.9</v>
      </c>
      <c r="L311" s="19">
        <v>48.0</v>
      </c>
      <c r="M311" s="19">
        <v>56.0</v>
      </c>
      <c r="N311" s="19">
        <v>8.0</v>
      </c>
      <c r="O311" s="19" t="s">
        <v>143</v>
      </c>
      <c r="P311" s="19" t="s">
        <v>178</v>
      </c>
      <c r="Q311" s="20">
        <f t="shared" si="4"/>
        <v>0.625</v>
      </c>
      <c r="R311" s="20">
        <f t="shared" si="5"/>
        <v>0.9444444444</v>
      </c>
      <c r="S311" s="20">
        <f t="shared" si="6"/>
        <v>0.05555555556</v>
      </c>
      <c r="T311" s="20">
        <f t="shared" si="7"/>
        <v>0.8571428571</v>
      </c>
      <c r="U311" s="20">
        <f>IF(B311="","",MIN(Q311/Targets!$B$2,1)*Targets!$D$2+MIN(G311/100/Targets!$B$3,1)*Targets!$D$3+MIN(T311/Targets!$B$4,1)*Targets!$D$4+MIN(R311/Targets!$B$5,1)*Targets!$D$5+MIN(N311/Targets!$B$6,1)*Targets!$D$6+MIN(Targets!$B$7/MAX(S311,0.0001),1)*Targets!$D$7)</f>
        <v>0.6229521721</v>
      </c>
    </row>
    <row r="312">
      <c r="A312" s="18">
        <v>46237.0</v>
      </c>
      <c r="B312" s="19" t="s">
        <v>91</v>
      </c>
      <c r="C312" s="19" t="s">
        <v>188</v>
      </c>
      <c r="D312" s="19" t="s">
        <v>121</v>
      </c>
      <c r="E312" s="14">
        <f t="shared" si="1"/>
        <v>16</v>
      </c>
      <c r="F312" s="19">
        <f t="shared" si="2"/>
        <v>11</v>
      </c>
      <c r="G312" s="20">
        <f t="shared" si="3"/>
        <v>0.6875</v>
      </c>
      <c r="H312" s="19">
        <v>31.0</v>
      </c>
      <c r="I312" s="19">
        <v>38.0</v>
      </c>
      <c r="J312" s="19">
        <v>2.0</v>
      </c>
      <c r="K312" s="19">
        <v>5.7</v>
      </c>
      <c r="L312" s="19">
        <v>39.0</v>
      </c>
      <c r="M312" s="19">
        <v>46.0</v>
      </c>
      <c r="N312" s="19">
        <v>5.4</v>
      </c>
      <c r="O312" s="19" t="s">
        <v>143</v>
      </c>
      <c r="P312" s="19" t="s">
        <v>178</v>
      </c>
      <c r="Q312" s="20">
        <f t="shared" si="4"/>
        <v>0.6875</v>
      </c>
      <c r="R312" s="20">
        <f t="shared" si="5"/>
        <v>0.8157894737</v>
      </c>
      <c r="S312" s="20">
        <f t="shared" si="6"/>
        <v>0.05263157895</v>
      </c>
      <c r="T312" s="20">
        <f t="shared" si="7"/>
        <v>0.847826087</v>
      </c>
      <c r="U312" s="20">
        <f>IF(B312="","",MIN(Q312/Targets!$B$2,1)*Targets!$D$2+MIN(G312/100/Targets!$B$3,1)*Targets!$D$3+MIN(T312/Targets!$B$4,1)*Targets!$D$4+MIN(R312/Targets!$B$5,1)*Targets!$D$5+MIN(N312/Targets!$B$6,1)*Targets!$D$6+MIN(Targets!$B$7/MAX(S312,0.0001),1)*Targets!$D$7)</f>
        <v>0.5973255137</v>
      </c>
    </row>
    <row r="313">
      <c r="A313" s="18">
        <v>46237.0</v>
      </c>
      <c r="B313" s="19" t="s">
        <v>100</v>
      </c>
      <c r="C313" s="19" t="s">
        <v>190</v>
      </c>
      <c r="D313" s="19" t="s">
        <v>121</v>
      </c>
      <c r="E313" s="14">
        <f t="shared" si="1"/>
        <v>12</v>
      </c>
      <c r="F313" s="19">
        <f t="shared" si="2"/>
        <v>13</v>
      </c>
      <c r="G313" s="20">
        <f t="shared" si="3"/>
        <v>1.083333333</v>
      </c>
      <c r="H313" s="19">
        <v>32.0</v>
      </c>
      <c r="I313" s="19">
        <v>36.0</v>
      </c>
      <c r="J313" s="19">
        <v>1.0</v>
      </c>
      <c r="K313" s="19">
        <v>4.3</v>
      </c>
      <c r="L313" s="19">
        <v>42.0</v>
      </c>
      <c r="M313" s="19">
        <v>50.0</v>
      </c>
      <c r="N313" s="19">
        <v>7.7</v>
      </c>
      <c r="O313" s="19" t="s">
        <v>143</v>
      </c>
      <c r="P313" s="19" t="s">
        <v>144</v>
      </c>
      <c r="Q313" s="20">
        <f t="shared" si="4"/>
        <v>1.083333333</v>
      </c>
      <c r="R313" s="20">
        <f t="shared" si="5"/>
        <v>0.8888888889</v>
      </c>
      <c r="S313" s="20">
        <f t="shared" si="6"/>
        <v>0.02777777778</v>
      </c>
      <c r="T313" s="20">
        <f t="shared" si="7"/>
        <v>0.84</v>
      </c>
      <c r="U313" s="20">
        <f>IF(B313="","",MIN(Q313/Targets!$B$2,1)*Targets!$D$2+MIN(G313/100/Targets!$B$3,1)*Targets!$D$3+MIN(T313/Targets!$B$4,1)*Targets!$D$4+MIN(R313/Targets!$B$5,1)*Targets!$D$5+MIN(N313/Targets!$B$6,1)*Targets!$D$6+MIN(Targets!$B$7/MAX(S313,0.0001),1)*Targets!$D$7)</f>
        <v>0.6839619883</v>
      </c>
    </row>
    <row r="314">
      <c r="A314" s="18">
        <v>46237.0</v>
      </c>
      <c r="B314" s="19" t="s">
        <v>109</v>
      </c>
      <c r="C314" s="19" t="s">
        <v>14</v>
      </c>
      <c r="D314" s="19" t="s">
        <v>121</v>
      </c>
      <c r="E314" s="14">
        <f t="shared" si="1"/>
        <v>7</v>
      </c>
      <c r="F314" s="19">
        <f t="shared" si="2"/>
        <v>11</v>
      </c>
      <c r="G314" s="20">
        <f t="shared" si="3"/>
        <v>1.571428571</v>
      </c>
      <c r="H314" s="19">
        <v>41.0</v>
      </c>
      <c r="I314" s="19">
        <v>44.0</v>
      </c>
      <c r="J314" s="19">
        <v>3.0</v>
      </c>
      <c r="K314" s="19">
        <v>2.0</v>
      </c>
      <c r="L314" s="19">
        <v>41.0</v>
      </c>
      <c r="M314" s="19">
        <v>48.0</v>
      </c>
      <c r="N314" s="19">
        <v>8.0</v>
      </c>
      <c r="O314" s="19" t="s">
        <v>143</v>
      </c>
      <c r="P314" s="19" t="s">
        <v>168</v>
      </c>
      <c r="Q314" s="20">
        <f t="shared" si="4"/>
        <v>1.571428571</v>
      </c>
      <c r="R314" s="20">
        <f t="shared" si="5"/>
        <v>0.9318181818</v>
      </c>
      <c r="S314" s="20">
        <f t="shared" si="6"/>
        <v>0.06818181818</v>
      </c>
      <c r="T314" s="20">
        <f t="shared" si="7"/>
        <v>0.8541666667</v>
      </c>
      <c r="U314" s="20">
        <f>IF(B314="","",MIN(Q314/Targets!$B$2,1)*Targets!$D$2+MIN(G314/100/Targets!$B$3,1)*Targets!$D$3+MIN(T314/Targets!$B$4,1)*Targets!$D$4+MIN(R314/Targets!$B$5,1)*Targets!$D$5+MIN(N314/Targets!$B$6,1)*Targets!$D$6+MIN(Targets!$B$7/MAX(S314,0.0001),1)*Targets!$D$7)</f>
        <v>0.6680617263</v>
      </c>
    </row>
    <row r="315">
      <c r="A315" s="18">
        <v>46237.0</v>
      </c>
      <c r="B315" s="19" t="s">
        <v>115</v>
      </c>
      <c r="C315" s="19" t="s">
        <v>167</v>
      </c>
      <c r="D315" s="19" t="s">
        <v>121</v>
      </c>
      <c r="E315" s="14">
        <f t="shared" si="1"/>
        <v>16</v>
      </c>
      <c r="F315" s="19">
        <f t="shared" si="2"/>
        <v>6</v>
      </c>
      <c r="G315" s="20">
        <f t="shared" si="3"/>
        <v>0.375</v>
      </c>
      <c r="H315" s="19">
        <v>24.0</v>
      </c>
      <c r="I315" s="19">
        <v>26.0</v>
      </c>
      <c r="J315" s="19">
        <v>0.0</v>
      </c>
      <c r="K315" s="19">
        <v>4.4</v>
      </c>
      <c r="L315" s="19">
        <v>36.0</v>
      </c>
      <c r="M315" s="19">
        <v>45.0</v>
      </c>
      <c r="N315" s="19">
        <v>6.4</v>
      </c>
      <c r="O315" s="19" t="s">
        <v>143</v>
      </c>
      <c r="P315" s="19" t="s">
        <v>191</v>
      </c>
      <c r="Q315" s="20">
        <f t="shared" si="4"/>
        <v>0.375</v>
      </c>
      <c r="R315" s="20">
        <f t="shared" si="5"/>
        <v>0.9230769231</v>
      </c>
      <c r="S315" s="20">
        <f t="shared" si="6"/>
        <v>0</v>
      </c>
      <c r="T315" s="20">
        <f t="shared" si="7"/>
        <v>0.8</v>
      </c>
      <c r="U315" s="20">
        <f>IF(B315="","",MIN(Q315/Targets!$B$2,1)*Targets!$D$2+MIN(G315/100/Targets!$B$3,1)*Targets!$D$3+MIN(T315/Targets!$B$4,1)*Targets!$D$4+MIN(R315/Targets!$B$5,1)*Targets!$D$5+MIN(N315/Targets!$B$6,1)*Targets!$D$6+MIN(Targets!$B$7/MAX(S315,0.0001),1)*Targets!$D$7)</f>
        <v>0.5550942259</v>
      </c>
    </row>
    <row r="316">
      <c r="A316" s="18">
        <v>46237.0</v>
      </c>
      <c r="B316" s="19" t="s">
        <v>118</v>
      </c>
      <c r="C316" s="19" t="s">
        <v>169</v>
      </c>
      <c r="D316" s="19" t="s">
        <v>121</v>
      </c>
      <c r="E316" s="14">
        <f t="shared" si="1"/>
        <v>6</v>
      </c>
      <c r="F316" s="19">
        <f t="shared" si="2"/>
        <v>6</v>
      </c>
      <c r="G316" s="20">
        <f t="shared" si="3"/>
        <v>1</v>
      </c>
      <c r="H316" s="19">
        <v>35.0</v>
      </c>
      <c r="I316" s="19">
        <v>39.0</v>
      </c>
      <c r="J316" s="19">
        <v>2.0</v>
      </c>
      <c r="K316" s="19">
        <v>2.5</v>
      </c>
      <c r="L316" s="19">
        <v>40.0</v>
      </c>
      <c r="M316" s="19">
        <v>50.0</v>
      </c>
      <c r="N316" s="19">
        <v>7.5</v>
      </c>
      <c r="O316" s="19" t="s">
        <v>143</v>
      </c>
      <c r="P316" s="19" t="s">
        <v>144</v>
      </c>
      <c r="Q316" s="20">
        <f t="shared" si="4"/>
        <v>1</v>
      </c>
      <c r="R316" s="20">
        <f t="shared" si="5"/>
        <v>0.8974358974</v>
      </c>
      <c r="S316" s="20">
        <f t="shared" si="6"/>
        <v>0.05128205128</v>
      </c>
      <c r="T316" s="20">
        <f t="shared" si="7"/>
        <v>0.8</v>
      </c>
      <c r="U316" s="20">
        <f>IF(B316="","",MIN(Q316/Targets!$B$2,1)*Targets!$D$2+MIN(G316/100/Targets!$B$3,1)*Targets!$D$3+MIN(T316/Targets!$B$4,1)*Targets!$D$4+MIN(R316/Targets!$B$5,1)*Targets!$D$5+MIN(N316/Targets!$B$6,1)*Targets!$D$6+MIN(Targets!$B$7/MAX(S316,0.0001),1)*Targets!$D$7)</f>
        <v>0.6758670715</v>
      </c>
    </row>
    <row r="317">
      <c r="A317" s="18">
        <v>46237.0</v>
      </c>
      <c r="B317" s="19" t="s">
        <v>123</v>
      </c>
      <c r="C317" s="19" t="s">
        <v>171</v>
      </c>
      <c r="D317" s="19" t="s">
        <v>121</v>
      </c>
      <c r="E317" s="14">
        <f t="shared" si="1"/>
        <v>8</v>
      </c>
      <c r="F317" s="19">
        <f t="shared" si="2"/>
        <v>12</v>
      </c>
      <c r="G317" s="20">
        <f t="shared" si="3"/>
        <v>1.5</v>
      </c>
      <c r="H317" s="19">
        <v>25.0</v>
      </c>
      <c r="I317" s="19">
        <v>31.0</v>
      </c>
      <c r="J317" s="19">
        <v>2.0</v>
      </c>
      <c r="K317" s="19">
        <v>4.2</v>
      </c>
      <c r="L317" s="19">
        <v>31.0</v>
      </c>
      <c r="M317" s="19">
        <v>37.0</v>
      </c>
      <c r="N317" s="19">
        <v>5.1</v>
      </c>
      <c r="O317" s="19" t="s">
        <v>143</v>
      </c>
      <c r="P317" s="19" t="s">
        <v>187</v>
      </c>
      <c r="Q317" s="20">
        <f t="shared" si="4"/>
        <v>1.5</v>
      </c>
      <c r="R317" s="20">
        <f t="shared" si="5"/>
        <v>0.8064516129</v>
      </c>
      <c r="S317" s="20">
        <f t="shared" si="6"/>
        <v>0.06451612903</v>
      </c>
      <c r="T317" s="20">
        <f t="shared" si="7"/>
        <v>0.8378378378</v>
      </c>
      <c r="U317" s="20">
        <f>IF(B317="","",MIN(Q317/Targets!$B$2,1)*Targets!$D$2+MIN(G317/100/Targets!$B$3,1)*Targets!$D$3+MIN(T317/Targets!$B$4,1)*Targets!$D$4+MIN(R317/Targets!$B$5,1)*Targets!$D$5+MIN(N317/Targets!$B$6,1)*Targets!$D$6+MIN(Targets!$B$7/MAX(S317,0.0001),1)*Targets!$D$7)</f>
        <v>0.6223312477</v>
      </c>
    </row>
    <row r="318">
      <c r="A318" s="18">
        <v>46237.0</v>
      </c>
      <c r="B318" s="19" t="s">
        <v>126</v>
      </c>
      <c r="C318" s="19" t="s">
        <v>179</v>
      </c>
      <c r="D318" s="19" t="s">
        <v>121</v>
      </c>
      <c r="E318" s="14">
        <f t="shared" si="1"/>
        <v>15</v>
      </c>
      <c r="F318" s="19">
        <f t="shared" si="2"/>
        <v>6</v>
      </c>
      <c r="G318" s="20">
        <f t="shared" si="3"/>
        <v>0.4</v>
      </c>
      <c r="H318" s="19">
        <v>56.0</v>
      </c>
      <c r="I318" s="19">
        <v>58.0</v>
      </c>
      <c r="J318" s="19">
        <v>1.0</v>
      </c>
      <c r="K318" s="19">
        <v>2.5</v>
      </c>
      <c r="L318" s="19">
        <v>59.0</v>
      </c>
      <c r="M318" s="19">
        <v>65.0</v>
      </c>
      <c r="N318" s="19">
        <v>7.3</v>
      </c>
      <c r="O318" s="19" t="s">
        <v>143</v>
      </c>
      <c r="P318" s="19" t="s">
        <v>168</v>
      </c>
      <c r="Q318" s="20">
        <f t="shared" si="4"/>
        <v>0.4</v>
      </c>
      <c r="R318" s="20">
        <f t="shared" si="5"/>
        <v>0.9655172414</v>
      </c>
      <c r="S318" s="20">
        <f t="shared" si="6"/>
        <v>0.01724137931</v>
      </c>
      <c r="T318" s="20">
        <f t="shared" si="7"/>
        <v>0.9076923077</v>
      </c>
      <c r="U318" s="20">
        <f>IF(B318="","",MIN(Q318/Targets!$B$2,1)*Targets!$D$2+MIN(G318/100/Targets!$B$3,1)*Targets!$D$3+MIN(T318/Targets!$B$4,1)*Targets!$D$4+MIN(R318/Targets!$B$5,1)*Targets!$D$5+MIN(N318/Targets!$B$6,1)*Targets!$D$6+MIN(Targets!$B$7/MAX(S318,0.0001),1)*Targets!$D$7)</f>
        <v>0.5902222222</v>
      </c>
    </row>
    <row r="319">
      <c r="A319" s="18">
        <v>46237.0</v>
      </c>
      <c r="B319" s="19" t="s">
        <v>129</v>
      </c>
      <c r="C319" s="19" t="s">
        <v>188</v>
      </c>
      <c r="D319" s="19" t="s">
        <v>121</v>
      </c>
      <c r="E319" s="14">
        <f t="shared" si="1"/>
        <v>12</v>
      </c>
      <c r="F319" s="19">
        <f t="shared" si="2"/>
        <v>7</v>
      </c>
      <c r="G319" s="20">
        <f t="shared" si="3"/>
        <v>0.5833333333</v>
      </c>
      <c r="H319" s="19">
        <v>46.0</v>
      </c>
      <c r="I319" s="19">
        <v>48.0</v>
      </c>
      <c r="J319" s="19">
        <v>2.0</v>
      </c>
      <c r="K319" s="19">
        <v>4.5</v>
      </c>
      <c r="L319" s="19">
        <v>50.0</v>
      </c>
      <c r="M319" s="19">
        <v>54.0</v>
      </c>
      <c r="N319" s="19">
        <v>7.2</v>
      </c>
      <c r="O319" s="19" t="s">
        <v>143</v>
      </c>
      <c r="P319" s="19" t="s">
        <v>191</v>
      </c>
      <c r="Q319" s="20">
        <f t="shared" si="4"/>
        <v>0.5833333333</v>
      </c>
      <c r="R319" s="20">
        <f t="shared" si="5"/>
        <v>0.9583333333</v>
      </c>
      <c r="S319" s="20">
        <f t="shared" si="6"/>
        <v>0.04166666667</v>
      </c>
      <c r="T319" s="20">
        <f t="shared" si="7"/>
        <v>0.9259259259</v>
      </c>
      <c r="U319" s="20">
        <f>IF(B319="","",MIN(Q319/Targets!$B$2,1)*Targets!$D$2+MIN(G319/100/Targets!$B$3,1)*Targets!$D$3+MIN(T319/Targets!$B$4,1)*Targets!$D$4+MIN(R319/Targets!$B$5,1)*Targets!$D$5+MIN(N319/Targets!$B$6,1)*Targets!$D$6+MIN(Targets!$B$7/MAX(S319,0.0001),1)*Targets!$D$7)</f>
        <v>0.6315740741</v>
      </c>
    </row>
    <row r="320">
      <c r="A320" s="18">
        <v>46237.0</v>
      </c>
      <c r="B320" s="19" t="s">
        <v>132</v>
      </c>
      <c r="C320" s="19" t="s">
        <v>190</v>
      </c>
      <c r="D320" s="19" t="s">
        <v>121</v>
      </c>
      <c r="E320" s="14">
        <f t="shared" si="1"/>
        <v>14</v>
      </c>
      <c r="F320" s="19">
        <f t="shared" si="2"/>
        <v>14</v>
      </c>
      <c r="G320" s="20">
        <f t="shared" si="3"/>
        <v>1</v>
      </c>
      <c r="H320" s="19">
        <v>40.0</v>
      </c>
      <c r="I320" s="19">
        <v>44.0</v>
      </c>
      <c r="J320" s="19">
        <v>1.0</v>
      </c>
      <c r="K320" s="19">
        <v>4.0</v>
      </c>
      <c r="L320" s="19">
        <v>45.0</v>
      </c>
      <c r="M320" s="19">
        <v>52.0</v>
      </c>
      <c r="N320" s="19">
        <v>7.0</v>
      </c>
      <c r="O320" s="19" t="s">
        <v>143</v>
      </c>
      <c r="P320" s="19" t="s">
        <v>186</v>
      </c>
      <c r="Q320" s="20">
        <f t="shared" si="4"/>
        <v>1</v>
      </c>
      <c r="R320" s="20">
        <f t="shared" si="5"/>
        <v>0.9090909091</v>
      </c>
      <c r="S320" s="20">
        <f t="shared" si="6"/>
        <v>0.02272727273</v>
      </c>
      <c r="T320" s="20">
        <f t="shared" si="7"/>
        <v>0.8653846154</v>
      </c>
      <c r="U320" s="20">
        <f>IF(B320="","",MIN(Q320/Targets!$B$2,1)*Targets!$D$2+MIN(G320/100/Targets!$B$3,1)*Targets!$D$3+MIN(T320/Targets!$B$4,1)*Targets!$D$4+MIN(R320/Targets!$B$5,1)*Targets!$D$5+MIN(N320/Targets!$B$6,1)*Targets!$D$6+MIN(Targets!$B$7/MAX(S320,0.0001),1)*Targets!$D$7)</f>
        <v>0.6911047724</v>
      </c>
    </row>
    <row r="321">
      <c r="A321" s="18">
        <v>46237.0</v>
      </c>
      <c r="B321" s="19" t="s">
        <v>135</v>
      </c>
      <c r="C321" s="19" t="s">
        <v>169</v>
      </c>
      <c r="D321" s="19" t="s">
        <v>121</v>
      </c>
      <c r="E321" s="14">
        <f t="shared" si="1"/>
        <v>8</v>
      </c>
      <c r="F321" s="19">
        <f t="shared" si="2"/>
        <v>12</v>
      </c>
      <c r="G321" s="20">
        <f t="shared" si="3"/>
        <v>1.5</v>
      </c>
      <c r="H321" s="19">
        <v>40.0</v>
      </c>
      <c r="I321" s="19">
        <v>42.0</v>
      </c>
      <c r="J321" s="19">
        <v>1.0</v>
      </c>
      <c r="K321" s="19">
        <v>2.6</v>
      </c>
      <c r="L321" s="19">
        <v>28.0</v>
      </c>
      <c r="M321" s="19">
        <v>33.0</v>
      </c>
      <c r="N321" s="19">
        <v>3.6</v>
      </c>
      <c r="O321" s="19" t="s">
        <v>200</v>
      </c>
      <c r="P321" s="19" t="s">
        <v>191</v>
      </c>
      <c r="Q321" s="20">
        <f t="shared" si="4"/>
        <v>1.5</v>
      </c>
      <c r="R321" s="20">
        <f t="shared" si="5"/>
        <v>0.9523809524</v>
      </c>
      <c r="S321" s="20">
        <f t="shared" si="6"/>
        <v>0.02380952381</v>
      </c>
      <c r="T321" s="20">
        <f t="shared" si="7"/>
        <v>0.8484848485</v>
      </c>
      <c r="U321" s="20">
        <f>IF(B321="","",MIN(Q321/Targets!$B$2,1)*Targets!$D$2+MIN(G321/100/Targets!$B$3,1)*Targets!$D$3+MIN(T321/Targets!$B$4,1)*Targets!$D$4+MIN(R321/Targets!$B$5,1)*Targets!$D$5+MIN(N321/Targets!$B$6,1)*Targets!$D$6+MIN(Targets!$B$7/MAX(S321,0.0001),1)*Targets!$D$7)</f>
        <v>0.6478427128</v>
      </c>
    </row>
    <row r="322">
      <c r="A322" s="18">
        <v>46238.0</v>
      </c>
      <c r="B322" s="19" t="s">
        <v>10</v>
      </c>
      <c r="C322" s="19" t="s">
        <v>14</v>
      </c>
      <c r="D322" s="19" t="s">
        <v>121</v>
      </c>
      <c r="E322" s="14">
        <f t="shared" si="1"/>
        <v>9</v>
      </c>
      <c r="F322" s="19">
        <f t="shared" si="2"/>
        <v>9</v>
      </c>
      <c r="G322" s="20">
        <f t="shared" si="3"/>
        <v>1</v>
      </c>
      <c r="H322" s="19">
        <v>26.0</v>
      </c>
      <c r="I322" s="19">
        <v>30.0</v>
      </c>
      <c r="J322" s="19">
        <v>1.0</v>
      </c>
      <c r="K322" s="19">
        <v>6.1</v>
      </c>
      <c r="L322" s="19">
        <v>31.0</v>
      </c>
      <c r="M322" s="19">
        <v>39.0</v>
      </c>
      <c r="N322" s="19">
        <v>5.4</v>
      </c>
      <c r="O322" s="19" t="s">
        <v>143</v>
      </c>
      <c r="P322" s="19" t="s">
        <v>189</v>
      </c>
      <c r="Q322" s="20">
        <f t="shared" si="4"/>
        <v>1</v>
      </c>
      <c r="R322" s="20">
        <f t="shared" si="5"/>
        <v>0.8666666667</v>
      </c>
      <c r="S322" s="20">
        <f t="shared" si="6"/>
        <v>0.03333333333</v>
      </c>
      <c r="T322" s="20">
        <f t="shared" si="7"/>
        <v>0.7948717949</v>
      </c>
      <c r="U322" s="20">
        <f>IF(B322="","",MIN(Q322/Targets!$B$2,1)*Targets!$D$2+MIN(G322/100/Targets!$B$3,1)*Targets!$D$3+MIN(T322/Targets!$B$4,1)*Targets!$D$4+MIN(R322/Targets!$B$5,1)*Targets!$D$5+MIN(N322/Targets!$B$6,1)*Targets!$D$6+MIN(Targets!$B$7/MAX(S322,0.0001),1)*Targets!$D$7)</f>
        <v>0.6497969282</v>
      </c>
    </row>
    <row r="323">
      <c r="A323" s="18">
        <v>46238.0</v>
      </c>
      <c r="B323" s="19" t="s">
        <v>25</v>
      </c>
      <c r="C323" s="19" t="s">
        <v>167</v>
      </c>
      <c r="D323" s="19" t="s">
        <v>121</v>
      </c>
      <c r="E323" s="14">
        <f t="shared" si="1"/>
        <v>11</v>
      </c>
      <c r="F323" s="19">
        <f t="shared" si="2"/>
        <v>11</v>
      </c>
      <c r="G323" s="20">
        <f t="shared" si="3"/>
        <v>1</v>
      </c>
      <c r="H323" s="19">
        <v>45.0</v>
      </c>
      <c r="I323" s="19">
        <v>49.0</v>
      </c>
      <c r="J323" s="19">
        <v>3.0</v>
      </c>
      <c r="K323" s="19">
        <v>2.7</v>
      </c>
      <c r="L323" s="19">
        <v>45.0</v>
      </c>
      <c r="M323" s="19">
        <v>53.0</v>
      </c>
      <c r="N323" s="19">
        <v>7.9</v>
      </c>
      <c r="O323" s="19" t="s">
        <v>143</v>
      </c>
      <c r="P323" s="19" t="s">
        <v>187</v>
      </c>
      <c r="Q323" s="20">
        <f t="shared" si="4"/>
        <v>1</v>
      </c>
      <c r="R323" s="20">
        <f t="shared" si="5"/>
        <v>0.9183673469</v>
      </c>
      <c r="S323" s="20">
        <f t="shared" si="6"/>
        <v>0.0612244898</v>
      </c>
      <c r="T323" s="20">
        <f t="shared" si="7"/>
        <v>0.8490566038</v>
      </c>
      <c r="U323" s="20">
        <f>IF(B323="","",MIN(Q323/Targets!$B$2,1)*Targets!$D$2+MIN(G323/100/Targets!$B$3,1)*Targets!$D$3+MIN(T323/Targets!$B$4,1)*Targets!$D$4+MIN(R323/Targets!$B$5,1)*Targets!$D$5+MIN(N323/Targets!$B$6,1)*Targets!$D$6+MIN(Targets!$B$7/MAX(S323,0.0001),1)*Targets!$D$7)</f>
        <v>0.6715148045</v>
      </c>
    </row>
    <row r="324">
      <c r="A324" s="18">
        <v>46238.0</v>
      </c>
      <c r="B324" s="19" t="s">
        <v>37</v>
      </c>
      <c r="C324" s="19" t="s">
        <v>169</v>
      </c>
      <c r="D324" s="19" t="s">
        <v>121</v>
      </c>
      <c r="E324" s="14">
        <f t="shared" si="1"/>
        <v>13</v>
      </c>
      <c r="F324" s="19">
        <f t="shared" si="2"/>
        <v>15</v>
      </c>
      <c r="G324" s="20">
        <f t="shared" si="3"/>
        <v>1.153846154</v>
      </c>
      <c r="H324" s="19">
        <v>33.0</v>
      </c>
      <c r="I324" s="19">
        <v>36.0</v>
      </c>
      <c r="J324" s="19">
        <v>1.0</v>
      </c>
      <c r="K324" s="19">
        <v>3.8</v>
      </c>
      <c r="L324" s="19">
        <v>39.0</v>
      </c>
      <c r="M324" s="19">
        <v>45.0</v>
      </c>
      <c r="N324" s="19">
        <v>6.6</v>
      </c>
      <c r="O324" s="19" t="s">
        <v>143</v>
      </c>
      <c r="P324" s="19" t="s">
        <v>178</v>
      </c>
      <c r="Q324" s="20">
        <f t="shared" si="4"/>
        <v>1.153846154</v>
      </c>
      <c r="R324" s="20">
        <f t="shared" si="5"/>
        <v>0.9166666667</v>
      </c>
      <c r="S324" s="20">
        <f t="shared" si="6"/>
        <v>0.02777777778</v>
      </c>
      <c r="T324" s="20">
        <f t="shared" si="7"/>
        <v>0.8666666667</v>
      </c>
      <c r="U324" s="20">
        <f>IF(B324="","",MIN(Q324/Targets!$B$2,1)*Targets!$D$2+MIN(G324/100/Targets!$B$3,1)*Targets!$D$3+MIN(T324/Targets!$B$4,1)*Targets!$D$4+MIN(R324/Targets!$B$5,1)*Targets!$D$5+MIN(N324/Targets!$B$6,1)*Targets!$D$6+MIN(Targets!$B$7/MAX(S324,0.0001),1)*Targets!$D$7)</f>
        <v>0.6873131547</v>
      </c>
    </row>
    <row r="325">
      <c r="A325" s="18">
        <v>46238.0</v>
      </c>
      <c r="B325" s="19" t="s">
        <v>42</v>
      </c>
      <c r="C325" s="19" t="s">
        <v>171</v>
      </c>
      <c r="D325" s="19" t="s">
        <v>121</v>
      </c>
      <c r="E325" s="14">
        <f t="shared" si="1"/>
        <v>8</v>
      </c>
      <c r="F325" s="19">
        <f t="shared" si="2"/>
        <v>6</v>
      </c>
      <c r="G325" s="20">
        <f t="shared" si="3"/>
        <v>0.75</v>
      </c>
      <c r="H325" s="19">
        <v>47.0</v>
      </c>
      <c r="I325" s="19">
        <v>52.0</v>
      </c>
      <c r="J325" s="19">
        <v>1.0</v>
      </c>
      <c r="K325" s="19">
        <v>3.3</v>
      </c>
      <c r="L325" s="19">
        <v>55.0</v>
      </c>
      <c r="M325" s="19">
        <v>59.0</v>
      </c>
      <c r="N325" s="19">
        <v>6.7</v>
      </c>
      <c r="O325" s="19" t="s">
        <v>143</v>
      </c>
      <c r="P325" s="19" t="s">
        <v>187</v>
      </c>
      <c r="Q325" s="20">
        <f t="shared" si="4"/>
        <v>0.75</v>
      </c>
      <c r="R325" s="20">
        <f t="shared" si="5"/>
        <v>0.9038461538</v>
      </c>
      <c r="S325" s="20">
        <f t="shared" si="6"/>
        <v>0.01923076923</v>
      </c>
      <c r="T325" s="20">
        <f t="shared" si="7"/>
        <v>0.9322033898</v>
      </c>
      <c r="U325" s="20">
        <f>IF(B325="","",MIN(Q325/Targets!$B$2,1)*Targets!$D$2+MIN(G325/100/Targets!$B$3,1)*Targets!$D$3+MIN(T325/Targets!$B$4,1)*Targets!$D$4+MIN(R325/Targets!$B$5,1)*Targets!$D$5+MIN(N325/Targets!$B$6,1)*Targets!$D$6+MIN(Targets!$B$7/MAX(S325,0.0001),1)*Targets!$D$7)</f>
        <v>0.657593503</v>
      </c>
    </row>
    <row r="326">
      <c r="A326" s="18">
        <v>46238.0</v>
      </c>
      <c r="B326" s="19" t="s">
        <v>46</v>
      </c>
      <c r="C326" s="19" t="s">
        <v>179</v>
      </c>
      <c r="D326" s="19" t="s">
        <v>121</v>
      </c>
      <c r="E326" s="14">
        <f t="shared" si="1"/>
        <v>8</v>
      </c>
      <c r="F326" s="19">
        <f t="shared" si="2"/>
        <v>12</v>
      </c>
      <c r="G326" s="20">
        <f t="shared" si="3"/>
        <v>1.5</v>
      </c>
      <c r="H326" s="19">
        <v>30.0</v>
      </c>
      <c r="I326" s="19">
        <v>34.0</v>
      </c>
      <c r="J326" s="19">
        <v>1.0</v>
      </c>
      <c r="K326" s="19">
        <v>3.9</v>
      </c>
      <c r="L326" s="19">
        <v>41.0</v>
      </c>
      <c r="M326" s="19">
        <v>47.0</v>
      </c>
      <c r="N326" s="19">
        <v>7.0</v>
      </c>
      <c r="O326" s="19" t="s">
        <v>143</v>
      </c>
      <c r="P326" s="19" t="s">
        <v>186</v>
      </c>
      <c r="Q326" s="20">
        <f t="shared" si="4"/>
        <v>1.5</v>
      </c>
      <c r="R326" s="20">
        <f t="shared" si="5"/>
        <v>0.8823529412</v>
      </c>
      <c r="S326" s="20">
        <f t="shared" si="6"/>
        <v>0.02941176471</v>
      </c>
      <c r="T326" s="20">
        <f t="shared" si="7"/>
        <v>0.8723404255</v>
      </c>
      <c r="U326" s="20">
        <f>IF(B326="","",MIN(Q326/Targets!$B$2,1)*Targets!$D$2+MIN(G326/100/Targets!$B$3,1)*Targets!$D$3+MIN(T326/Targets!$B$4,1)*Targets!$D$4+MIN(R326/Targets!$B$5,1)*Targets!$D$5+MIN(N326/Targets!$B$6,1)*Targets!$D$6+MIN(Targets!$B$7/MAX(S326,0.0001),1)*Targets!$D$7)</f>
        <v>0.6897089564</v>
      </c>
    </row>
    <row r="327">
      <c r="A327" s="18">
        <v>46238.0</v>
      </c>
      <c r="B327" s="19" t="s">
        <v>53</v>
      </c>
      <c r="C327" s="19" t="s">
        <v>14</v>
      </c>
      <c r="D327" s="19" t="s">
        <v>121</v>
      </c>
      <c r="E327" s="14">
        <f t="shared" si="1"/>
        <v>10</v>
      </c>
      <c r="F327" s="19">
        <f t="shared" si="2"/>
        <v>8</v>
      </c>
      <c r="G327" s="20">
        <f t="shared" si="3"/>
        <v>0.8</v>
      </c>
      <c r="H327" s="19">
        <v>42.0</v>
      </c>
      <c r="I327" s="19">
        <v>47.0</v>
      </c>
      <c r="J327" s="19">
        <v>3.0</v>
      </c>
      <c r="K327" s="19">
        <v>3.0</v>
      </c>
      <c r="L327" s="19">
        <v>49.0</v>
      </c>
      <c r="M327" s="19">
        <v>53.0</v>
      </c>
      <c r="N327" s="19">
        <v>7.9</v>
      </c>
      <c r="O327" s="19" t="s">
        <v>143</v>
      </c>
      <c r="P327" s="19" t="s">
        <v>178</v>
      </c>
      <c r="Q327" s="20">
        <f t="shared" si="4"/>
        <v>0.8</v>
      </c>
      <c r="R327" s="20">
        <f t="shared" si="5"/>
        <v>0.8936170213</v>
      </c>
      <c r="S327" s="20">
        <f t="shared" si="6"/>
        <v>0.06382978723</v>
      </c>
      <c r="T327" s="20">
        <f t="shared" si="7"/>
        <v>0.9245283019</v>
      </c>
      <c r="U327" s="20">
        <f>IF(B327="","",MIN(Q327/Targets!$B$2,1)*Targets!$D$2+MIN(G327/100/Targets!$B$3,1)*Targets!$D$3+MIN(T327/Targets!$B$4,1)*Targets!$D$4+MIN(R327/Targets!$B$5,1)*Targets!$D$5+MIN(N327/Targets!$B$6,1)*Targets!$D$6+MIN(Targets!$B$7/MAX(S327,0.0001),1)*Targets!$D$7)</f>
        <v>0.6498752022</v>
      </c>
    </row>
    <row r="328">
      <c r="A328" s="18">
        <v>46238.0</v>
      </c>
      <c r="B328" s="19" t="s">
        <v>65</v>
      </c>
      <c r="C328" s="19" t="s">
        <v>167</v>
      </c>
      <c r="D328" s="19" t="s">
        <v>121</v>
      </c>
      <c r="E328" s="14">
        <f t="shared" si="1"/>
        <v>10</v>
      </c>
      <c r="F328" s="19">
        <f t="shared" si="2"/>
        <v>11</v>
      </c>
      <c r="G328" s="20">
        <f t="shared" si="3"/>
        <v>1.1</v>
      </c>
      <c r="H328" s="19">
        <v>0.0</v>
      </c>
      <c r="I328" s="19">
        <v>0.0</v>
      </c>
      <c r="J328" s="19">
        <v>0.0</v>
      </c>
      <c r="K328" s="19">
        <v>0.0</v>
      </c>
      <c r="L328" s="19">
        <v>0.0</v>
      </c>
      <c r="M328" s="19">
        <v>0.0</v>
      </c>
      <c r="N328" s="19">
        <v>0.0</v>
      </c>
      <c r="O328" s="19" t="s">
        <v>205</v>
      </c>
      <c r="P328" s="19" t="s">
        <v>205</v>
      </c>
      <c r="Q328" s="20">
        <f t="shared" si="4"/>
        <v>1.1</v>
      </c>
      <c r="R328" s="20">
        <f t="shared" si="5"/>
        <v>0</v>
      </c>
      <c r="S328" s="20">
        <f t="shared" si="6"/>
        <v>0</v>
      </c>
      <c r="T328" s="20">
        <f t="shared" si="7"/>
        <v>0</v>
      </c>
      <c r="U328" s="20">
        <f>IF(B328="","",MIN(Q328/Targets!$B$2,1)*Targets!$D$2+MIN(G328/100/Targets!$B$3,1)*Targets!$D$3+MIN(T328/Targets!$B$4,1)*Targets!$D$4+MIN(R328/Targets!$B$5,1)*Targets!$D$5+MIN(N328/Targets!$B$6,1)*Targets!$D$6+MIN(Targets!$B$7/MAX(S328,0.0001),1)*Targets!$D$7)</f>
        <v>0.3036666667</v>
      </c>
    </row>
    <row r="329">
      <c r="A329" s="18">
        <v>46238.0</v>
      </c>
      <c r="B329" s="19" t="s">
        <v>73</v>
      </c>
      <c r="C329" s="19" t="s">
        <v>169</v>
      </c>
      <c r="D329" s="19" t="s">
        <v>121</v>
      </c>
      <c r="E329" s="14">
        <f t="shared" si="1"/>
        <v>13</v>
      </c>
      <c r="F329" s="19">
        <f t="shared" si="2"/>
        <v>6</v>
      </c>
      <c r="G329" s="20">
        <f t="shared" si="3"/>
        <v>0.4615384615</v>
      </c>
      <c r="H329" s="19">
        <v>46.0</v>
      </c>
      <c r="I329" s="19">
        <v>49.0</v>
      </c>
      <c r="J329" s="19">
        <v>3.0</v>
      </c>
      <c r="K329" s="19">
        <v>2.3</v>
      </c>
      <c r="L329" s="19">
        <v>49.0</v>
      </c>
      <c r="M329" s="19">
        <v>53.0</v>
      </c>
      <c r="N329" s="19">
        <v>7.5</v>
      </c>
      <c r="O329" s="19" t="s">
        <v>143</v>
      </c>
      <c r="P329" s="19" t="s">
        <v>144</v>
      </c>
      <c r="Q329" s="20">
        <f t="shared" si="4"/>
        <v>0.4615384615</v>
      </c>
      <c r="R329" s="20">
        <f t="shared" si="5"/>
        <v>0.9387755102</v>
      </c>
      <c r="S329" s="20">
        <f t="shared" si="6"/>
        <v>0.0612244898</v>
      </c>
      <c r="T329" s="20">
        <f t="shared" si="7"/>
        <v>0.9245283019</v>
      </c>
      <c r="U329" s="20">
        <f>IF(B329="","",MIN(Q329/Targets!$B$2,1)*Targets!$D$2+MIN(G329/100/Targets!$B$3,1)*Targets!$D$3+MIN(T329/Targets!$B$4,1)*Targets!$D$4+MIN(R329/Targets!$B$5,1)*Targets!$D$5+MIN(N329/Targets!$B$6,1)*Targets!$D$6+MIN(Targets!$B$7/MAX(S329,0.0001),1)*Targets!$D$7)</f>
        <v>0.5839969429</v>
      </c>
    </row>
    <row r="330">
      <c r="A330" s="18">
        <v>46238.0</v>
      </c>
      <c r="B330" s="19" t="s">
        <v>78</v>
      </c>
      <c r="C330" s="19" t="s">
        <v>171</v>
      </c>
      <c r="D330" s="19" t="s">
        <v>121</v>
      </c>
      <c r="E330" s="14">
        <f t="shared" si="1"/>
        <v>10</v>
      </c>
      <c r="F330" s="19">
        <f t="shared" si="2"/>
        <v>9</v>
      </c>
      <c r="G330" s="20">
        <f t="shared" si="3"/>
        <v>0.9</v>
      </c>
      <c r="H330" s="19">
        <v>0.0</v>
      </c>
      <c r="I330" s="19">
        <v>0.0</v>
      </c>
      <c r="J330" s="19">
        <v>0.0</v>
      </c>
      <c r="K330" s="19">
        <v>0.0</v>
      </c>
      <c r="L330" s="19">
        <v>0.0</v>
      </c>
      <c r="M330" s="19">
        <v>0.0</v>
      </c>
      <c r="N330" s="19">
        <v>0.0</v>
      </c>
      <c r="O330" s="19" t="s">
        <v>205</v>
      </c>
      <c r="P330" s="19" t="s">
        <v>205</v>
      </c>
      <c r="Q330" s="20">
        <f t="shared" si="4"/>
        <v>0.9</v>
      </c>
      <c r="R330" s="20">
        <f t="shared" si="5"/>
        <v>0</v>
      </c>
      <c r="S330" s="20">
        <f t="shared" si="6"/>
        <v>0</v>
      </c>
      <c r="T330" s="20">
        <f t="shared" si="7"/>
        <v>0</v>
      </c>
      <c r="U330" s="20">
        <f>IF(B330="","",MIN(Q330/Targets!$B$2,1)*Targets!$D$2+MIN(G330/100/Targets!$B$3,1)*Targets!$D$3+MIN(T330/Targets!$B$4,1)*Targets!$D$4+MIN(R330/Targets!$B$5,1)*Targets!$D$5+MIN(N330/Targets!$B$6,1)*Targets!$D$6+MIN(Targets!$B$7/MAX(S330,0.0001),1)*Targets!$D$7)</f>
        <v>0.303</v>
      </c>
    </row>
    <row r="331">
      <c r="A331" s="18">
        <v>46238.0</v>
      </c>
      <c r="B331" s="19" t="s">
        <v>84</v>
      </c>
      <c r="C331" s="19" t="s">
        <v>179</v>
      </c>
      <c r="D331" s="19" t="s">
        <v>121</v>
      </c>
      <c r="E331" s="14">
        <f t="shared" si="1"/>
        <v>10</v>
      </c>
      <c r="F331" s="19">
        <f t="shared" si="2"/>
        <v>7</v>
      </c>
      <c r="G331" s="20">
        <f t="shared" si="3"/>
        <v>0.7</v>
      </c>
      <c r="H331" s="19">
        <v>22.0</v>
      </c>
      <c r="I331" s="19">
        <v>26.0</v>
      </c>
      <c r="J331" s="19">
        <v>0.0</v>
      </c>
      <c r="K331" s="19">
        <v>5.0</v>
      </c>
      <c r="L331" s="19">
        <v>29.0</v>
      </c>
      <c r="M331" s="19">
        <v>46.0</v>
      </c>
      <c r="N331" s="19">
        <v>5.0</v>
      </c>
      <c r="O331" s="19" t="s">
        <v>143</v>
      </c>
      <c r="P331" s="19" t="s">
        <v>178</v>
      </c>
      <c r="Q331" s="20">
        <f t="shared" si="4"/>
        <v>0.7</v>
      </c>
      <c r="R331" s="20">
        <f t="shared" si="5"/>
        <v>0.8461538462</v>
      </c>
      <c r="S331" s="20">
        <f t="shared" si="6"/>
        <v>0</v>
      </c>
      <c r="T331" s="20">
        <f t="shared" si="7"/>
        <v>0.6304347826</v>
      </c>
      <c r="U331" s="20">
        <f>IF(B331="","",MIN(Q331/Targets!$B$2,1)*Targets!$D$2+MIN(G331/100/Targets!$B$3,1)*Targets!$D$3+MIN(T331/Targets!$B$4,1)*Targets!$D$4+MIN(R331/Targets!$B$5,1)*Targets!$D$5+MIN(N331/Targets!$B$6,1)*Targets!$D$6+MIN(Targets!$B$7/MAX(S331,0.0001),1)*Targets!$D$7)</f>
        <v>0.567993163</v>
      </c>
    </row>
    <row r="332">
      <c r="A332" s="18">
        <v>46238.0</v>
      </c>
      <c r="B332" s="19" t="s">
        <v>91</v>
      </c>
      <c r="C332" s="19" t="s">
        <v>188</v>
      </c>
      <c r="D332" s="19" t="s">
        <v>121</v>
      </c>
      <c r="E332" s="14">
        <f t="shared" si="1"/>
        <v>15</v>
      </c>
      <c r="F332" s="19">
        <f t="shared" si="2"/>
        <v>9</v>
      </c>
      <c r="G332" s="20">
        <f t="shared" si="3"/>
        <v>0.6</v>
      </c>
      <c r="H332" s="19">
        <v>24.0</v>
      </c>
      <c r="I332" s="19">
        <v>29.0</v>
      </c>
      <c r="J332" s="19">
        <v>0.0</v>
      </c>
      <c r="K332" s="19">
        <v>4.2</v>
      </c>
      <c r="L332" s="19">
        <v>33.0</v>
      </c>
      <c r="M332" s="19">
        <v>41.0</v>
      </c>
      <c r="N332" s="19">
        <v>6.3</v>
      </c>
      <c r="O332" s="19" t="s">
        <v>143</v>
      </c>
      <c r="P332" s="19" t="s">
        <v>191</v>
      </c>
      <c r="Q332" s="20">
        <f t="shared" si="4"/>
        <v>0.6</v>
      </c>
      <c r="R332" s="20">
        <f t="shared" si="5"/>
        <v>0.8275862069</v>
      </c>
      <c r="S332" s="20">
        <f t="shared" si="6"/>
        <v>0</v>
      </c>
      <c r="T332" s="20">
        <f t="shared" si="7"/>
        <v>0.8048780488</v>
      </c>
      <c r="U332" s="20">
        <f>IF(B332="","",MIN(Q332/Targets!$B$2,1)*Targets!$D$2+MIN(G332/100/Targets!$B$3,1)*Targets!$D$3+MIN(T332/Targets!$B$4,1)*Targets!$D$4+MIN(R332/Targets!$B$5,1)*Targets!$D$5+MIN(N332/Targets!$B$6,1)*Targets!$D$6+MIN(Targets!$B$7/MAX(S332,0.0001),1)*Targets!$D$7)</f>
        <v>0.5901511811</v>
      </c>
    </row>
    <row r="333">
      <c r="A333" s="18">
        <v>46238.0</v>
      </c>
      <c r="B333" s="19" t="s">
        <v>100</v>
      </c>
      <c r="C333" s="19" t="s">
        <v>190</v>
      </c>
      <c r="D333" s="19" t="s">
        <v>121</v>
      </c>
      <c r="E333" s="14">
        <f t="shared" si="1"/>
        <v>12</v>
      </c>
      <c r="F333" s="19">
        <f t="shared" si="2"/>
        <v>13</v>
      </c>
      <c r="G333" s="20">
        <f t="shared" si="3"/>
        <v>1.083333333</v>
      </c>
      <c r="H333" s="19">
        <v>39.0</v>
      </c>
      <c r="I333" s="19">
        <v>42.0</v>
      </c>
      <c r="J333" s="19">
        <v>2.0</v>
      </c>
      <c r="K333" s="19">
        <v>3.0</v>
      </c>
      <c r="L333" s="19">
        <v>58.0</v>
      </c>
      <c r="M333" s="19">
        <v>62.0</v>
      </c>
      <c r="N333" s="19">
        <v>7.6</v>
      </c>
      <c r="O333" s="19" t="s">
        <v>143</v>
      </c>
      <c r="P333" s="19" t="s">
        <v>187</v>
      </c>
      <c r="Q333" s="20">
        <f t="shared" si="4"/>
        <v>1.083333333</v>
      </c>
      <c r="R333" s="20">
        <f t="shared" si="5"/>
        <v>0.9285714286</v>
      </c>
      <c r="S333" s="20">
        <f t="shared" si="6"/>
        <v>0.04761904762</v>
      </c>
      <c r="T333" s="20">
        <f t="shared" si="7"/>
        <v>0.935483871</v>
      </c>
      <c r="U333" s="20">
        <f>IF(B333="","",MIN(Q333/Targets!$B$2,1)*Targets!$D$2+MIN(G333/100/Targets!$B$3,1)*Targets!$D$3+MIN(T333/Targets!$B$4,1)*Targets!$D$4+MIN(R333/Targets!$B$5,1)*Targets!$D$5+MIN(N333/Targets!$B$6,1)*Targets!$D$6+MIN(Targets!$B$7/MAX(S333,0.0001),1)*Targets!$D$7)</f>
        <v>0.7002276525</v>
      </c>
    </row>
    <row r="334">
      <c r="A334" s="18">
        <v>46238.0</v>
      </c>
      <c r="B334" s="19" t="s">
        <v>109</v>
      </c>
      <c r="C334" s="19" t="s">
        <v>14</v>
      </c>
      <c r="D334" s="19" t="s">
        <v>121</v>
      </c>
      <c r="E334" s="14">
        <f t="shared" si="1"/>
        <v>12</v>
      </c>
      <c r="F334" s="19">
        <f t="shared" si="2"/>
        <v>15</v>
      </c>
      <c r="G334" s="20">
        <f t="shared" si="3"/>
        <v>1.25</v>
      </c>
      <c r="H334" s="19">
        <v>33.0</v>
      </c>
      <c r="I334" s="19">
        <v>38.0</v>
      </c>
      <c r="J334" s="19">
        <v>1.0</v>
      </c>
      <c r="K334" s="19">
        <v>4.4</v>
      </c>
      <c r="L334" s="19">
        <v>49.0</v>
      </c>
      <c r="M334" s="19">
        <v>57.0</v>
      </c>
      <c r="N334" s="19">
        <v>6.9</v>
      </c>
      <c r="O334" s="19" t="s">
        <v>143</v>
      </c>
      <c r="P334" s="19" t="s">
        <v>168</v>
      </c>
      <c r="Q334" s="20">
        <f t="shared" si="4"/>
        <v>1.25</v>
      </c>
      <c r="R334" s="20">
        <f t="shared" si="5"/>
        <v>0.8684210526</v>
      </c>
      <c r="S334" s="20">
        <f t="shared" si="6"/>
        <v>0.02631578947</v>
      </c>
      <c r="T334" s="20">
        <f t="shared" si="7"/>
        <v>0.8596491228</v>
      </c>
      <c r="U334" s="20">
        <f>IF(B334="","",MIN(Q334/Targets!$B$2,1)*Targets!$D$2+MIN(G334/100/Targets!$B$3,1)*Targets!$D$3+MIN(T334/Targets!$B$4,1)*Targets!$D$4+MIN(R334/Targets!$B$5,1)*Targets!$D$5+MIN(N334/Targets!$B$6,1)*Targets!$D$6+MIN(Targets!$B$7/MAX(S334,0.0001),1)*Targets!$D$7)</f>
        <v>0.6831320626</v>
      </c>
    </row>
    <row r="335">
      <c r="A335" s="18">
        <v>46238.0</v>
      </c>
      <c r="B335" s="19" t="s">
        <v>115</v>
      </c>
      <c r="C335" s="19" t="s">
        <v>167</v>
      </c>
      <c r="D335" s="19" t="s">
        <v>121</v>
      </c>
      <c r="E335" s="14">
        <f t="shared" si="1"/>
        <v>13</v>
      </c>
      <c r="F335" s="19">
        <f t="shared" si="2"/>
        <v>15</v>
      </c>
      <c r="G335" s="20">
        <f t="shared" si="3"/>
        <v>1.153846154</v>
      </c>
      <c r="H335" s="19">
        <v>50.0</v>
      </c>
      <c r="I335" s="19">
        <v>53.0</v>
      </c>
      <c r="J335" s="19">
        <v>4.0</v>
      </c>
      <c r="K335" s="19">
        <v>2.8</v>
      </c>
      <c r="L335" s="19">
        <v>61.0</v>
      </c>
      <c r="M335" s="19">
        <v>71.0</v>
      </c>
      <c r="N335" s="19">
        <v>8.2</v>
      </c>
      <c r="O335" s="19" t="s">
        <v>143</v>
      </c>
      <c r="P335" s="19" t="s">
        <v>187</v>
      </c>
      <c r="Q335" s="20">
        <f t="shared" si="4"/>
        <v>1.153846154</v>
      </c>
      <c r="R335" s="20">
        <f t="shared" si="5"/>
        <v>0.9433962264</v>
      </c>
      <c r="S335" s="20">
        <f t="shared" si="6"/>
        <v>0.07547169811</v>
      </c>
      <c r="T335" s="20">
        <f t="shared" si="7"/>
        <v>0.8591549296</v>
      </c>
      <c r="U335" s="20">
        <f>IF(B335="","",MIN(Q335/Targets!$B$2,1)*Targets!$D$2+MIN(G335/100/Targets!$B$3,1)*Targets!$D$3+MIN(T335/Targets!$B$4,1)*Targets!$D$4+MIN(R335/Targets!$B$5,1)*Targets!$D$5+MIN(N335/Targets!$B$6,1)*Targets!$D$6+MIN(Targets!$B$7/MAX(S335,0.0001),1)*Targets!$D$7)</f>
        <v>0.662245941</v>
      </c>
    </row>
    <row r="336">
      <c r="A336" s="18">
        <v>46238.0</v>
      </c>
      <c r="B336" s="19" t="s">
        <v>118</v>
      </c>
      <c r="C336" s="19" t="s">
        <v>169</v>
      </c>
      <c r="D336" s="19" t="s">
        <v>121</v>
      </c>
      <c r="E336" s="14">
        <f t="shared" si="1"/>
        <v>8</v>
      </c>
      <c r="F336" s="19">
        <f t="shared" si="2"/>
        <v>14</v>
      </c>
      <c r="G336" s="20">
        <f t="shared" si="3"/>
        <v>1.75</v>
      </c>
      <c r="H336" s="19">
        <v>49.0</v>
      </c>
      <c r="I336" s="19">
        <v>56.0</v>
      </c>
      <c r="J336" s="19">
        <v>2.0</v>
      </c>
      <c r="K336" s="19">
        <v>4.3</v>
      </c>
      <c r="L336" s="19">
        <v>57.0</v>
      </c>
      <c r="M336" s="19">
        <v>58.0</v>
      </c>
      <c r="N336" s="19">
        <v>6.8</v>
      </c>
      <c r="O336" s="19" t="s">
        <v>143</v>
      </c>
      <c r="P336" s="19" t="s">
        <v>144</v>
      </c>
      <c r="Q336" s="20">
        <f t="shared" si="4"/>
        <v>1.75</v>
      </c>
      <c r="R336" s="20">
        <f t="shared" si="5"/>
        <v>0.875</v>
      </c>
      <c r="S336" s="20">
        <f t="shared" si="6"/>
        <v>0.03571428571</v>
      </c>
      <c r="T336" s="20">
        <f t="shared" si="7"/>
        <v>0.9827586207</v>
      </c>
      <c r="U336" s="20">
        <f>IF(B336="","",MIN(Q336/Targets!$B$2,1)*Targets!$D$2+MIN(G336/100/Targets!$B$3,1)*Targets!$D$3+MIN(T336/Targets!$B$4,1)*Targets!$D$4+MIN(R336/Targets!$B$5,1)*Targets!$D$5+MIN(N336/Targets!$B$6,1)*Targets!$D$6+MIN(Targets!$B$7/MAX(S336,0.0001),1)*Targets!$D$7)</f>
        <v>0.6911340852</v>
      </c>
    </row>
    <row r="337">
      <c r="A337" s="18">
        <v>46238.0</v>
      </c>
      <c r="B337" s="19" t="s">
        <v>123</v>
      </c>
      <c r="C337" s="19" t="s">
        <v>171</v>
      </c>
      <c r="D337" s="19" t="s">
        <v>121</v>
      </c>
      <c r="E337" s="14">
        <f t="shared" si="1"/>
        <v>6</v>
      </c>
      <c r="F337" s="19">
        <f t="shared" si="2"/>
        <v>6</v>
      </c>
      <c r="G337" s="20">
        <f t="shared" si="3"/>
        <v>1</v>
      </c>
      <c r="H337" s="19">
        <v>37.0</v>
      </c>
      <c r="I337" s="19">
        <v>40.0</v>
      </c>
      <c r="J337" s="19">
        <v>0.0</v>
      </c>
      <c r="K337" s="19">
        <v>2.4</v>
      </c>
      <c r="L337" s="19">
        <v>44.0</v>
      </c>
      <c r="M337" s="19">
        <v>46.0</v>
      </c>
      <c r="N337" s="19">
        <v>8.5</v>
      </c>
      <c r="O337" s="19" t="s">
        <v>143</v>
      </c>
      <c r="P337" s="19" t="s">
        <v>178</v>
      </c>
      <c r="Q337" s="20">
        <f t="shared" si="4"/>
        <v>1</v>
      </c>
      <c r="R337" s="20">
        <f t="shared" si="5"/>
        <v>0.925</v>
      </c>
      <c r="S337" s="20">
        <f t="shared" si="6"/>
        <v>0</v>
      </c>
      <c r="T337" s="20">
        <f t="shared" si="7"/>
        <v>0.9565217391</v>
      </c>
      <c r="U337" s="20">
        <f>IF(B337="","",MIN(Q337/Targets!$B$2,1)*Targets!$D$2+MIN(G337/100/Targets!$B$3,1)*Targets!$D$3+MIN(T337/Targets!$B$4,1)*Targets!$D$4+MIN(R337/Targets!$B$5,1)*Targets!$D$5+MIN(N337/Targets!$B$6,1)*Targets!$D$6+MIN(Targets!$B$7/MAX(S337,0.0001),1)*Targets!$D$7)</f>
        <v>0.6993859649</v>
      </c>
    </row>
    <row r="338">
      <c r="A338" s="18">
        <v>46238.0</v>
      </c>
      <c r="B338" s="19" t="s">
        <v>126</v>
      </c>
      <c r="C338" s="19" t="s">
        <v>179</v>
      </c>
      <c r="D338" s="19" t="s">
        <v>121</v>
      </c>
      <c r="E338" s="14">
        <f t="shared" si="1"/>
        <v>16</v>
      </c>
      <c r="F338" s="19">
        <f t="shared" si="2"/>
        <v>8</v>
      </c>
      <c r="G338" s="20">
        <f t="shared" si="3"/>
        <v>0.5</v>
      </c>
      <c r="H338" s="19">
        <v>40.0</v>
      </c>
      <c r="I338" s="19">
        <v>44.0</v>
      </c>
      <c r="J338" s="19">
        <v>3.0</v>
      </c>
      <c r="K338" s="19">
        <v>2.8</v>
      </c>
      <c r="L338" s="19">
        <v>44.0</v>
      </c>
      <c r="M338" s="19">
        <v>50.0</v>
      </c>
      <c r="N338" s="19">
        <v>7.1</v>
      </c>
      <c r="O338" s="19" t="s">
        <v>143</v>
      </c>
      <c r="P338" s="19" t="s">
        <v>178</v>
      </c>
      <c r="Q338" s="20">
        <f t="shared" si="4"/>
        <v>0.5</v>
      </c>
      <c r="R338" s="20">
        <f t="shared" si="5"/>
        <v>0.9090909091</v>
      </c>
      <c r="S338" s="20">
        <f t="shared" si="6"/>
        <v>0.06818181818</v>
      </c>
      <c r="T338" s="20">
        <f t="shared" si="7"/>
        <v>0.88</v>
      </c>
      <c r="U338" s="20">
        <f>IF(B338="","",MIN(Q338/Targets!$B$2,1)*Targets!$D$2+MIN(G338/100/Targets!$B$3,1)*Targets!$D$3+MIN(T338/Targets!$B$4,1)*Targets!$D$4+MIN(R338/Targets!$B$5,1)*Targets!$D$5+MIN(N338/Targets!$B$6,1)*Targets!$D$6+MIN(Targets!$B$7/MAX(S338,0.0001),1)*Targets!$D$7)</f>
        <v>0.5763184476</v>
      </c>
    </row>
    <row r="339">
      <c r="A339" s="18">
        <v>46238.0</v>
      </c>
      <c r="B339" s="19" t="s">
        <v>129</v>
      </c>
      <c r="C339" s="19" t="s">
        <v>188</v>
      </c>
      <c r="D339" s="19" t="s">
        <v>121</v>
      </c>
      <c r="E339" s="14">
        <f t="shared" si="1"/>
        <v>12</v>
      </c>
      <c r="F339" s="19">
        <f t="shared" si="2"/>
        <v>9</v>
      </c>
      <c r="G339" s="20">
        <f t="shared" si="3"/>
        <v>0.75</v>
      </c>
      <c r="H339" s="19">
        <v>47.0</v>
      </c>
      <c r="I339" s="19">
        <v>50.0</v>
      </c>
      <c r="J339" s="19">
        <v>2.0</v>
      </c>
      <c r="K339" s="19">
        <v>3.4</v>
      </c>
      <c r="L339" s="19">
        <v>53.0</v>
      </c>
      <c r="M339" s="19">
        <v>60.0</v>
      </c>
      <c r="N339" s="19">
        <v>7.8</v>
      </c>
      <c r="O339" s="19" t="s">
        <v>143</v>
      </c>
      <c r="P339" s="19" t="s">
        <v>187</v>
      </c>
      <c r="Q339" s="20">
        <f t="shared" si="4"/>
        <v>0.75</v>
      </c>
      <c r="R339" s="20">
        <f t="shared" si="5"/>
        <v>0.94</v>
      </c>
      <c r="S339" s="20">
        <f t="shared" si="6"/>
        <v>0.04</v>
      </c>
      <c r="T339" s="20">
        <f t="shared" si="7"/>
        <v>0.8833333333</v>
      </c>
      <c r="U339" s="20">
        <f>IF(B339="","",MIN(Q339/Targets!$B$2,1)*Targets!$D$2+MIN(G339/100/Targets!$B$3,1)*Targets!$D$3+MIN(T339/Targets!$B$4,1)*Targets!$D$4+MIN(R339/Targets!$B$5,1)*Targets!$D$5+MIN(N339/Targets!$B$6,1)*Targets!$D$6+MIN(Targets!$B$7/MAX(S339,0.0001),1)*Targets!$D$7)</f>
        <v>0.6648099415</v>
      </c>
    </row>
    <row r="340">
      <c r="A340" s="18">
        <v>46238.0</v>
      </c>
      <c r="B340" s="19" t="s">
        <v>132</v>
      </c>
      <c r="C340" s="19" t="s">
        <v>190</v>
      </c>
      <c r="D340" s="19" t="s">
        <v>121</v>
      </c>
      <c r="E340" s="14">
        <f t="shared" si="1"/>
        <v>16</v>
      </c>
      <c r="F340" s="19">
        <f t="shared" si="2"/>
        <v>8</v>
      </c>
      <c r="G340" s="20">
        <f t="shared" si="3"/>
        <v>0.5</v>
      </c>
      <c r="H340" s="19">
        <v>19.0</v>
      </c>
      <c r="I340" s="19">
        <v>23.0</v>
      </c>
      <c r="J340" s="19">
        <v>1.0</v>
      </c>
      <c r="K340" s="19">
        <v>4.1</v>
      </c>
      <c r="L340" s="19">
        <v>28.0</v>
      </c>
      <c r="M340" s="19">
        <v>37.0</v>
      </c>
      <c r="N340" s="19">
        <v>6.8</v>
      </c>
      <c r="O340" s="19" t="s">
        <v>143</v>
      </c>
      <c r="P340" s="19" t="s">
        <v>189</v>
      </c>
      <c r="Q340" s="20">
        <f t="shared" si="4"/>
        <v>0.5</v>
      </c>
      <c r="R340" s="20">
        <f t="shared" si="5"/>
        <v>0.8260869565</v>
      </c>
      <c r="S340" s="20">
        <f t="shared" si="6"/>
        <v>0.04347826087</v>
      </c>
      <c r="T340" s="20">
        <f t="shared" si="7"/>
        <v>0.7567567568</v>
      </c>
      <c r="U340" s="20">
        <f>IF(B340="","",MIN(Q340/Targets!$B$2,1)*Targets!$D$2+MIN(G340/100/Targets!$B$3,1)*Targets!$D$3+MIN(T340/Targets!$B$4,1)*Targets!$D$4+MIN(R340/Targets!$B$5,1)*Targets!$D$5+MIN(N340/Targets!$B$6,1)*Targets!$D$6+MIN(Targets!$B$7/MAX(S340,0.0001),1)*Targets!$D$7)</f>
        <v>0.5664815437</v>
      </c>
    </row>
    <row r="341">
      <c r="A341" s="18">
        <v>46238.0</v>
      </c>
      <c r="B341" s="19" t="s">
        <v>135</v>
      </c>
      <c r="C341" s="19" t="s">
        <v>169</v>
      </c>
      <c r="D341" s="19" t="s">
        <v>121</v>
      </c>
      <c r="E341" s="14">
        <f t="shared" si="1"/>
        <v>7</v>
      </c>
      <c r="F341" s="19">
        <f t="shared" si="2"/>
        <v>7</v>
      </c>
      <c r="G341" s="20">
        <f t="shared" si="3"/>
        <v>1</v>
      </c>
      <c r="H341" s="19">
        <v>42.0</v>
      </c>
      <c r="I341" s="19">
        <v>47.0</v>
      </c>
      <c r="J341" s="19">
        <v>3.0</v>
      </c>
      <c r="K341" s="19">
        <v>3.1</v>
      </c>
      <c r="L341" s="19">
        <v>44.0</v>
      </c>
      <c r="M341" s="19">
        <v>48.0</v>
      </c>
      <c r="N341" s="19">
        <v>6.6</v>
      </c>
      <c r="O341" s="19" t="s">
        <v>143</v>
      </c>
      <c r="P341" s="19" t="s">
        <v>178</v>
      </c>
      <c r="Q341" s="20">
        <f t="shared" si="4"/>
        <v>1</v>
      </c>
      <c r="R341" s="20">
        <f t="shared" si="5"/>
        <v>0.8936170213</v>
      </c>
      <c r="S341" s="20">
        <f t="shared" si="6"/>
        <v>0.06382978723</v>
      </c>
      <c r="T341" s="20">
        <f t="shared" si="7"/>
        <v>0.9166666667</v>
      </c>
      <c r="U341" s="20">
        <f>IF(B341="","",MIN(Q341/Targets!$B$2,1)*Targets!$D$2+MIN(G341/100/Targets!$B$3,1)*Targets!$D$3+MIN(T341/Targets!$B$4,1)*Targets!$D$4+MIN(R341/Targets!$B$5,1)*Targets!$D$5+MIN(N341/Targets!$B$6,1)*Targets!$D$6+MIN(Targets!$B$7/MAX(S341,0.0001),1)*Targets!$D$7)</f>
        <v>0.6670498054</v>
      </c>
    </row>
    <row r="342">
      <c r="A342" s="18">
        <v>46239.0</v>
      </c>
      <c r="B342" s="19" t="s">
        <v>10</v>
      </c>
      <c r="C342" s="19" t="s">
        <v>14</v>
      </c>
      <c r="D342" s="19" t="s">
        <v>121</v>
      </c>
      <c r="E342" s="14">
        <f t="shared" si="1"/>
        <v>13</v>
      </c>
      <c r="F342" s="19">
        <f t="shared" si="2"/>
        <v>14</v>
      </c>
      <c r="G342" s="20">
        <f t="shared" si="3"/>
        <v>1.076923077</v>
      </c>
      <c r="H342" s="19">
        <v>22.0</v>
      </c>
      <c r="I342" s="19">
        <v>27.0</v>
      </c>
      <c r="J342" s="19">
        <v>1.0</v>
      </c>
      <c r="K342" s="19">
        <v>4.4</v>
      </c>
      <c r="L342" s="19">
        <v>36.0</v>
      </c>
      <c r="M342" s="19">
        <v>55.0</v>
      </c>
      <c r="N342" s="19">
        <v>6.0</v>
      </c>
      <c r="O342" s="19" t="s">
        <v>143</v>
      </c>
      <c r="P342" s="19" t="s">
        <v>186</v>
      </c>
      <c r="Q342" s="20">
        <f t="shared" si="4"/>
        <v>1.076923077</v>
      </c>
      <c r="R342" s="20">
        <f t="shared" si="5"/>
        <v>0.8148148148</v>
      </c>
      <c r="S342" s="20">
        <f t="shared" si="6"/>
        <v>0.03703703704</v>
      </c>
      <c r="T342" s="20">
        <f t="shared" si="7"/>
        <v>0.6545454545</v>
      </c>
      <c r="U342" s="20">
        <f>IF(B342="","",MIN(Q342/Targets!$B$2,1)*Targets!$D$2+MIN(G342/100/Targets!$B$3,1)*Targets!$D$3+MIN(T342/Targets!$B$4,1)*Targets!$D$4+MIN(R342/Targets!$B$5,1)*Targets!$D$5+MIN(N342/Targets!$B$6,1)*Targets!$D$6+MIN(Targets!$B$7/MAX(S342,0.0001),1)*Targets!$D$7)</f>
        <v>0.6270499092</v>
      </c>
    </row>
    <row r="343">
      <c r="A343" s="18">
        <v>46239.0</v>
      </c>
      <c r="B343" s="19" t="s">
        <v>25</v>
      </c>
      <c r="C343" s="19" t="s">
        <v>167</v>
      </c>
      <c r="D343" s="19" t="s">
        <v>121</v>
      </c>
      <c r="E343" s="14">
        <f t="shared" si="1"/>
        <v>16</v>
      </c>
      <c r="F343" s="19">
        <f t="shared" si="2"/>
        <v>7</v>
      </c>
      <c r="G343" s="20">
        <f t="shared" si="3"/>
        <v>0.4375</v>
      </c>
      <c r="H343" s="19">
        <v>37.0</v>
      </c>
      <c r="I343" s="19">
        <v>38.0</v>
      </c>
      <c r="J343" s="19">
        <v>1.0</v>
      </c>
      <c r="K343" s="19">
        <v>2.3</v>
      </c>
      <c r="L343" s="19">
        <v>45.0</v>
      </c>
      <c r="M343" s="19">
        <v>47.0</v>
      </c>
      <c r="N343" s="19">
        <v>7.7</v>
      </c>
      <c r="O343" s="19" t="s">
        <v>143</v>
      </c>
      <c r="P343" s="19" t="s">
        <v>168</v>
      </c>
      <c r="Q343" s="20">
        <f t="shared" si="4"/>
        <v>0.4375</v>
      </c>
      <c r="R343" s="20">
        <f t="shared" si="5"/>
        <v>0.9736842105</v>
      </c>
      <c r="S343" s="20">
        <f t="shared" si="6"/>
        <v>0.02631578947</v>
      </c>
      <c r="T343" s="20">
        <f t="shared" si="7"/>
        <v>0.9574468085</v>
      </c>
      <c r="U343" s="20">
        <f>IF(B343="","",MIN(Q343/Targets!$B$2,1)*Targets!$D$2+MIN(G343/100/Targets!$B$3,1)*Targets!$D$3+MIN(T343/Targets!$B$4,1)*Targets!$D$4+MIN(R343/Targets!$B$5,1)*Targets!$D$5+MIN(N343/Targets!$B$6,1)*Targets!$D$6+MIN(Targets!$B$7/MAX(S343,0.0001),1)*Targets!$D$7)</f>
        <v>0.5986805556</v>
      </c>
    </row>
    <row r="344">
      <c r="A344" s="18">
        <v>46239.0</v>
      </c>
      <c r="B344" s="19" t="s">
        <v>37</v>
      </c>
      <c r="C344" s="19" t="s">
        <v>169</v>
      </c>
      <c r="D344" s="19" t="s">
        <v>121</v>
      </c>
      <c r="E344" s="14">
        <f t="shared" si="1"/>
        <v>8</v>
      </c>
      <c r="F344" s="19">
        <f t="shared" si="2"/>
        <v>9</v>
      </c>
      <c r="G344" s="20">
        <f t="shared" si="3"/>
        <v>1.125</v>
      </c>
      <c r="H344" s="19">
        <v>42.0</v>
      </c>
      <c r="I344" s="19">
        <v>44.0</v>
      </c>
      <c r="J344" s="19">
        <v>1.0</v>
      </c>
      <c r="K344" s="19">
        <v>2.1</v>
      </c>
      <c r="L344" s="19">
        <v>46.0</v>
      </c>
      <c r="M344" s="19">
        <v>53.0</v>
      </c>
      <c r="N344" s="19">
        <v>8.1</v>
      </c>
      <c r="O344" s="19" t="s">
        <v>143</v>
      </c>
      <c r="P344" s="19" t="s">
        <v>187</v>
      </c>
      <c r="Q344" s="20">
        <f t="shared" si="4"/>
        <v>1.125</v>
      </c>
      <c r="R344" s="20">
        <f t="shared" si="5"/>
        <v>0.9545454545</v>
      </c>
      <c r="S344" s="20">
        <f t="shared" si="6"/>
        <v>0.02272727273</v>
      </c>
      <c r="T344" s="20">
        <f t="shared" si="7"/>
        <v>0.8679245283</v>
      </c>
      <c r="U344" s="20">
        <f>IF(B344="","",MIN(Q344/Targets!$B$2,1)*Targets!$D$2+MIN(G344/100/Targets!$B$3,1)*Targets!$D$3+MIN(T344/Targets!$B$4,1)*Targets!$D$4+MIN(R344/Targets!$B$5,1)*Targets!$D$5+MIN(N344/Targets!$B$6,1)*Targets!$D$6+MIN(Targets!$B$7/MAX(S344,0.0001),1)*Targets!$D$7)</f>
        <v>0.6984040881</v>
      </c>
    </row>
    <row r="345">
      <c r="A345" s="18">
        <v>46239.0</v>
      </c>
      <c r="B345" s="19" t="s">
        <v>42</v>
      </c>
      <c r="C345" s="19" t="s">
        <v>171</v>
      </c>
      <c r="D345" s="19" t="s">
        <v>121</v>
      </c>
      <c r="E345" s="14">
        <f t="shared" si="1"/>
        <v>7</v>
      </c>
      <c r="F345" s="19">
        <f t="shared" si="2"/>
        <v>12</v>
      </c>
      <c r="G345" s="20">
        <f t="shared" si="3"/>
        <v>1.714285714</v>
      </c>
      <c r="H345" s="19">
        <v>43.0</v>
      </c>
      <c r="I345" s="19">
        <v>47.0</v>
      </c>
      <c r="J345" s="19">
        <v>0.0</v>
      </c>
      <c r="K345" s="19">
        <v>2.9</v>
      </c>
      <c r="L345" s="19">
        <v>30.0</v>
      </c>
      <c r="M345" s="19">
        <v>34.0</v>
      </c>
      <c r="N345" s="19">
        <v>3.9</v>
      </c>
      <c r="O345" s="19" t="s">
        <v>200</v>
      </c>
      <c r="P345" s="19" t="s">
        <v>144</v>
      </c>
      <c r="Q345" s="20">
        <f t="shared" si="4"/>
        <v>1.714285714</v>
      </c>
      <c r="R345" s="20">
        <f t="shared" si="5"/>
        <v>0.914893617</v>
      </c>
      <c r="S345" s="20">
        <f t="shared" si="6"/>
        <v>0</v>
      </c>
      <c r="T345" s="20">
        <f t="shared" si="7"/>
        <v>0.8823529412</v>
      </c>
      <c r="U345" s="20">
        <f>IF(B345="","",MIN(Q345/Targets!$B$2,1)*Targets!$D$2+MIN(G345/100/Targets!$B$3,1)*Targets!$D$3+MIN(T345/Targets!$B$4,1)*Targets!$D$4+MIN(R345/Targets!$B$5,1)*Targets!$D$5+MIN(N345/Targets!$B$6,1)*Targets!$D$6+MIN(Targets!$B$7/MAX(S345,0.0001),1)*Targets!$D$7)</f>
        <v>0.6529442819</v>
      </c>
    </row>
    <row r="346">
      <c r="A346" s="18">
        <v>46239.0</v>
      </c>
      <c r="B346" s="19" t="s">
        <v>46</v>
      </c>
      <c r="C346" s="19" t="s">
        <v>179</v>
      </c>
      <c r="D346" s="19" t="s">
        <v>121</v>
      </c>
      <c r="E346" s="14">
        <f t="shared" si="1"/>
        <v>8</v>
      </c>
      <c r="F346" s="19">
        <f t="shared" si="2"/>
        <v>10</v>
      </c>
      <c r="G346" s="20">
        <f t="shared" si="3"/>
        <v>1.25</v>
      </c>
      <c r="H346" s="19">
        <v>36.0</v>
      </c>
      <c r="I346" s="19">
        <v>39.0</v>
      </c>
      <c r="J346" s="19">
        <v>1.0</v>
      </c>
      <c r="K346" s="19">
        <v>1.7</v>
      </c>
      <c r="L346" s="19">
        <v>44.0</v>
      </c>
      <c r="M346" s="19">
        <v>44.0</v>
      </c>
      <c r="N346" s="19">
        <v>7.7</v>
      </c>
      <c r="O346" s="19" t="s">
        <v>143</v>
      </c>
      <c r="P346" s="19" t="s">
        <v>178</v>
      </c>
      <c r="Q346" s="20">
        <f t="shared" si="4"/>
        <v>1.25</v>
      </c>
      <c r="R346" s="20">
        <f t="shared" si="5"/>
        <v>0.9230769231</v>
      </c>
      <c r="S346" s="20">
        <f t="shared" si="6"/>
        <v>0.02564102564</v>
      </c>
      <c r="T346" s="20">
        <f t="shared" si="7"/>
        <v>1</v>
      </c>
      <c r="U346" s="20">
        <f>IF(B346="","",MIN(Q346/Targets!$B$2,1)*Targets!$D$2+MIN(G346/100/Targets!$B$3,1)*Targets!$D$3+MIN(T346/Targets!$B$4,1)*Targets!$D$4+MIN(R346/Targets!$B$5,1)*Targets!$D$5+MIN(N346/Targets!$B$6,1)*Targets!$D$6+MIN(Targets!$B$7/MAX(S346,0.0001),1)*Targets!$D$7)</f>
        <v>0.6999156545</v>
      </c>
    </row>
    <row r="347">
      <c r="A347" s="18">
        <v>46239.0</v>
      </c>
      <c r="B347" s="19" t="s">
        <v>53</v>
      </c>
      <c r="C347" s="19" t="s">
        <v>14</v>
      </c>
      <c r="D347" s="19" t="s">
        <v>121</v>
      </c>
      <c r="E347" s="14">
        <f t="shared" si="1"/>
        <v>12</v>
      </c>
      <c r="F347" s="19">
        <f t="shared" si="2"/>
        <v>8</v>
      </c>
      <c r="G347" s="20">
        <f t="shared" si="3"/>
        <v>0.6666666667</v>
      </c>
      <c r="H347" s="19">
        <v>24.0</v>
      </c>
      <c r="I347" s="19">
        <v>29.0</v>
      </c>
      <c r="J347" s="19">
        <v>0.0</v>
      </c>
      <c r="K347" s="19">
        <v>6.3</v>
      </c>
      <c r="L347" s="19">
        <v>36.0</v>
      </c>
      <c r="M347" s="19">
        <v>53.0</v>
      </c>
      <c r="N347" s="19">
        <v>6.3</v>
      </c>
      <c r="O347" s="19" t="s">
        <v>143</v>
      </c>
      <c r="P347" s="19" t="s">
        <v>168</v>
      </c>
      <c r="Q347" s="20">
        <f t="shared" si="4"/>
        <v>0.6666666667</v>
      </c>
      <c r="R347" s="20">
        <f t="shared" si="5"/>
        <v>0.8275862069</v>
      </c>
      <c r="S347" s="20">
        <f t="shared" si="6"/>
        <v>0</v>
      </c>
      <c r="T347" s="20">
        <f t="shared" si="7"/>
        <v>0.679245283</v>
      </c>
      <c r="U347" s="20">
        <f>IF(B347="","",MIN(Q347/Targets!$B$2,1)*Targets!$D$2+MIN(G347/100/Targets!$B$3,1)*Targets!$D$3+MIN(T347/Targets!$B$4,1)*Targets!$D$4+MIN(R347/Targets!$B$5,1)*Targets!$D$5+MIN(N347/Targets!$B$6,1)*Targets!$D$6+MIN(Targets!$B$7/MAX(S347,0.0001),1)*Targets!$D$7)</f>
        <v>0.5842494239</v>
      </c>
    </row>
    <row r="348">
      <c r="A348" s="18">
        <v>46239.0</v>
      </c>
      <c r="B348" s="19" t="s">
        <v>65</v>
      </c>
      <c r="C348" s="19" t="s">
        <v>167</v>
      </c>
      <c r="D348" s="19" t="s">
        <v>121</v>
      </c>
      <c r="E348" s="14">
        <f t="shared" si="1"/>
        <v>13</v>
      </c>
      <c r="F348" s="19">
        <f t="shared" si="2"/>
        <v>10</v>
      </c>
      <c r="G348" s="20">
        <f t="shared" si="3"/>
        <v>0.7692307692</v>
      </c>
      <c r="H348" s="19">
        <v>25.0</v>
      </c>
      <c r="I348" s="19">
        <v>31.0</v>
      </c>
      <c r="J348" s="19">
        <v>1.0</v>
      </c>
      <c r="K348" s="19">
        <v>4.5</v>
      </c>
      <c r="L348" s="19">
        <v>31.0</v>
      </c>
      <c r="M348" s="19">
        <v>46.0</v>
      </c>
      <c r="N348" s="19">
        <v>5.5</v>
      </c>
      <c r="O348" s="19" t="s">
        <v>143</v>
      </c>
      <c r="P348" s="19" t="s">
        <v>186</v>
      </c>
      <c r="Q348" s="20">
        <f t="shared" si="4"/>
        <v>0.7692307692</v>
      </c>
      <c r="R348" s="20">
        <f t="shared" si="5"/>
        <v>0.8064516129</v>
      </c>
      <c r="S348" s="20">
        <f t="shared" si="6"/>
        <v>0.03225806452</v>
      </c>
      <c r="T348" s="20">
        <f t="shared" si="7"/>
        <v>0.6739130435</v>
      </c>
      <c r="U348" s="20">
        <f>IF(B348="","",MIN(Q348/Targets!$B$2,1)*Targets!$D$2+MIN(G348/100/Targets!$B$3,1)*Targets!$D$3+MIN(T348/Targets!$B$4,1)*Targets!$D$4+MIN(R348/Targets!$B$5,1)*Targets!$D$5+MIN(N348/Targets!$B$6,1)*Targets!$D$6+MIN(Targets!$B$7/MAX(S348,0.0001),1)*Targets!$D$7)</f>
        <v>0.5917290079</v>
      </c>
    </row>
    <row r="349">
      <c r="A349" s="18">
        <v>46239.0</v>
      </c>
      <c r="B349" s="19" t="s">
        <v>73</v>
      </c>
      <c r="C349" s="19" t="s">
        <v>169</v>
      </c>
      <c r="D349" s="19" t="s">
        <v>121</v>
      </c>
      <c r="E349" s="14">
        <f t="shared" si="1"/>
        <v>13</v>
      </c>
      <c r="F349" s="19">
        <f t="shared" si="2"/>
        <v>9</v>
      </c>
      <c r="G349" s="20">
        <f t="shared" si="3"/>
        <v>0.6923076923</v>
      </c>
      <c r="H349" s="19">
        <v>37.0</v>
      </c>
      <c r="I349" s="19">
        <v>39.0</v>
      </c>
      <c r="J349" s="19">
        <v>1.0</v>
      </c>
      <c r="K349" s="19">
        <v>2.8</v>
      </c>
      <c r="L349" s="19">
        <v>44.0</v>
      </c>
      <c r="M349" s="19">
        <v>50.0</v>
      </c>
      <c r="N349" s="19">
        <v>6.9</v>
      </c>
      <c r="O349" s="19" t="s">
        <v>143</v>
      </c>
      <c r="P349" s="19" t="s">
        <v>178</v>
      </c>
      <c r="Q349" s="20">
        <f t="shared" si="4"/>
        <v>0.6923076923</v>
      </c>
      <c r="R349" s="20">
        <f t="shared" si="5"/>
        <v>0.9487179487</v>
      </c>
      <c r="S349" s="20">
        <f t="shared" si="6"/>
        <v>0.02564102564</v>
      </c>
      <c r="T349" s="20">
        <f t="shared" si="7"/>
        <v>0.88</v>
      </c>
      <c r="U349" s="20">
        <f>IF(B349="","",MIN(Q349/Targets!$B$2,1)*Targets!$D$2+MIN(G349/100/Targets!$B$3,1)*Targets!$D$3+MIN(T349/Targets!$B$4,1)*Targets!$D$4+MIN(R349/Targets!$B$5,1)*Targets!$D$5+MIN(N349/Targets!$B$6,1)*Targets!$D$6+MIN(Targets!$B$7/MAX(S349,0.0001),1)*Targets!$D$7)</f>
        <v>0.6511895122</v>
      </c>
    </row>
    <row r="350">
      <c r="A350" s="18">
        <v>46239.0</v>
      </c>
      <c r="B350" s="19" t="s">
        <v>78</v>
      </c>
      <c r="C350" s="19" t="s">
        <v>171</v>
      </c>
      <c r="D350" s="19" t="s">
        <v>121</v>
      </c>
      <c r="E350" s="14">
        <f t="shared" si="1"/>
        <v>8</v>
      </c>
      <c r="F350" s="19">
        <f t="shared" si="2"/>
        <v>11</v>
      </c>
      <c r="G350" s="20">
        <f t="shared" si="3"/>
        <v>1.375</v>
      </c>
      <c r="H350" s="19">
        <v>35.0</v>
      </c>
      <c r="I350" s="19">
        <v>40.0</v>
      </c>
      <c r="J350" s="19">
        <v>2.0</v>
      </c>
      <c r="K350" s="19">
        <v>3.3</v>
      </c>
      <c r="L350" s="19">
        <v>40.0</v>
      </c>
      <c r="M350" s="19">
        <v>45.0</v>
      </c>
      <c r="N350" s="19">
        <v>7.3</v>
      </c>
      <c r="O350" s="19" t="s">
        <v>143</v>
      </c>
      <c r="P350" s="19" t="s">
        <v>189</v>
      </c>
      <c r="Q350" s="20">
        <f t="shared" si="4"/>
        <v>1.375</v>
      </c>
      <c r="R350" s="20">
        <f t="shared" si="5"/>
        <v>0.875</v>
      </c>
      <c r="S350" s="20">
        <f t="shared" si="6"/>
        <v>0.05</v>
      </c>
      <c r="T350" s="20">
        <f t="shared" si="7"/>
        <v>0.8888888889</v>
      </c>
      <c r="U350" s="20">
        <f>IF(B350="","",MIN(Q350/Targets!$B$2,1)*Targets!$D$2+MIN(G350/100/Targets!$B$3,1)*Targets!$D$3+MIN(T350/Targets!$B$4,1)*Targets!$D$4+MIN(R350/Targets!$B$5,1)*Targets!$D$5+MIN(N350/Targets!$B$6,1)*Targets!$D$6+MIN(Targets!$B$7/MAX(S350,0.0001),1)*Targets!$D$7)</f>
        <v>0.6908893762</v>
      </c>
    </row>
    <row r="351">
      <c r="A351" s="18">
        <v>46239.0</v>
      </c>
      <c r="B351" s="19" t="s">
        <v>84</v>
      </c>
      <c r="C351" s="19" t="s">
        <v>179</v>
      </c>
      <c r="D351" s="19" t="s">
        <v>121</v>
      </c>
      <c r="E351" s="14">
        <f t="shared" si="1"/>
        <v>14</v>
      </c>
      <c r="F351" s="19">
        <f t="shared" si="2"/>
        <v>12</v>
      </c>
      <c r="G351" s="20">
        <f t="shared" si="3"/>
        <v>0.8571428571</v>
      </c>
      <c r="H351" s="19">
        <v>40.0</v>
      </c>
      <c r="I351" s="19">
        <v>47.0</v>
      </c>
      <c r="J351" s="19">
        <v>3.0</v>
      </c>
      <c r="K351" s="19">
        <v>3.3</v>
      </c>
      <c r="L351" s="19">
        <v>49.0</v>
      </c>
      <c r="M351" s="19">
        <v>54.0</v>
      </c>
      <c r="N351" s="19">
        <v>6.9</v>
      </c>
      <c r="O351" s="19" t="s">
        <v>143</v>
      </c>
      <c r="P351" s="19" t="s">
        <v>191</v>
      </c>
      <c r="Q351" s="20">
        <f t="shared" si="4"/>
        <v>0.8571428571</v>
      </c>
      <c r="R351" s="20">
        <f t="shared" si="5"/>
        <v>0.8510638298</v>
      </c>
      <c r="S351" s="20">
        <f t="shared" si="6"/>
        <v>0.06382978723</v>
      </c>
      <c r="T351" s="20">
        <f t="shared" si="7"/>
        <v>0.9074074074</v>
      </c>
      <c r="U351" s="20">
        <f>IF(B351="","",MIN(Q351/Targets!$B$2,1)*Targets!$D$2+MIN(G351/100/Targets!$B$3,1)*Targets!$D$3+MIN(T351/Targets!$B$4,1)*Targets!$D$4+MIN(R351/Targets!$B$5,1)*Targets!$D$5+MIN(N351/Targets!$B$6,1)*Targets!$D$6+MIN(Targets!$B$7/MAX(S351,0.0001),1)*Targets!$D$7)</f>
        <v>0.6546165947</v>
      </c>
    </row>
    <row r="352">
      <c r="A352" s="18">
        <v>46239.0</v>
      </c>
      <c r="B352" s="19" t="s">
        <v>91</v>
      </c>
      <c r="C352" s="19" t="s">
        <v>188</v>
      </c>
      <c r="D352" s="19" t="s">
        <v>121</v>
      </c>
      <c r="E352" s="14">
        <f t="shared" si="1"/>
        <v>10</v>
      </c>
      <c r="F352" s="19">
        <f t="shared" si="2"/>
        <v>13</v>
      </c>
      <c r="G352" s="20">
        <f t="shared" si="3"/>
        <v>1.3</v>
      </c>
      <c r="H352" s="19">
        <v>37.0</v>
      </c>
      <c r="I352" s="19">
        <v>39.0</v>
      </c>
      <c r="J352" s="19">
        <v>1.0</v>
      </c>
      <c r="K352" s="19">
        <v>3.2</v>
      </c>
      <c r="L352" s="19">
        <v>42.0</v>
      </c>
      <c r="M352" s="19">
        <v>47.0</v>
      </c>
      <c r="N352" s="19">
        <v>7.2</v>
      </c>
      <c r="O352" s="19" t="s">
        <v>143</v>
      </c>
      <c r="P352" s="19" t="s">
        <v>187</v>
      </c>
      <c r="Q352" s="20">
        <f t="shared" si="4"/>
        <v>1.3</v>
      </c>
      <c r="R352" s="20">
        <f t="shared" si="5"/>
        <v>0.9487179487</v>
      </c>
      <c r="S352" s="20">
        <f t="shared" si="6"/>
        <v>0.02564102564</v>
      </c>
      <c r="T352" s="20">
        <f t="shared" si="7"/>
        <v>0.8936170213</v>
      </c>
      <c r="U352" s="20">
        <f>IF(B352="","",MIN(Q352/Targets!$B$2,1)*Targets!$D$2+MIN(G352/100/Targets!$B$3,1)*Targets!$D$3+MIN(T352/Targets!$B$4,1)*Targets!$D$4+MIN(R352/Targets!$B$5,1)*Targets!$D$5+MIN(N352/Targets!$B$6,1)*Targets!$D$6+MIN(Targets!$B$7/MAX(S352,0.0001),1)*Targets!$D$7)</f>
        <v>0.7030670744</v>
      </c>
    </row>
    <row r="353">
      <c r="A353" s="18">
        <v>46239.0</v>
      </c>
      <c r="B353" s="19" t="s">
        <v>100</v>
      </c>
      <c r="C353" s="19" t="s">
        <v>190</v>
      </c>
      <c r="D353" s="19" t="s">
        <v>121</v>
      </c>
      <c r="E353" s="14">
        <f t="shared" si="1"/>
        <v>14</v>
      </c>
      <c r="F353" s="19">
        <f t="shared" si="2"/>
        <v>6</v>
      </c>
      <c r="G353" s="20">
        <f t="shared" si="3"/>
        <v>0.4285714286</v>
      </c>
      <c r="H353" s="19">
        <v>34.0</v>
      </c>
      <c r="I353" s="19">
        <v>38.0</v>
      </c>
      <c r="J353" s="19">
        <v>3.0</v>
      </c>
      <c r="K353" s="19">
        <v>6.4</v>
      </c>
      <c r="L353" s="19">
        <v>38.0</v>
      </c>
      <c r="M353" s="19">
        <v>47.0</v>
      </c>
      <c r="N353" s="19">
        <v>5.8</v>
      </c>
      <c r="O353" s="19" t="s">
        <v>143</v>
      </c>
      <c r="P353" s="19" t="s">
        <v>187</v>
      </c>
      <c r="Q353" s="20">
        <f t="shared" si="4"/>
        <v>0.4285714286</v>
      </c>
      <c r="R353" s="20">
        <f t="shared" si="5"/>
        <v>0.8947368421</v>
      </c>
      <c r="S353" s="20">
        <f t="shared" si="6"/>
        <v>0.07894736842</v>
      </c>
      <c r="T353" s="20">
        <f t="shared" si="7"/>
        <v>0.8085106383</v>
      </c>
      <c r="U353" s="20">
        <f>IF(B353="","",MIN(Q353/Targets!$B$2,1)*Targets!$D$2+MIN(G353/100/Targets!$B$3,1)*Targets!$D$3+MIN(T353/Targets!$B$4,1)*Targets!$D$4+MIN(R353/Targets!$B$5,1)*Targets!$D$5+MIN(N353/Targets!$B$6,1)*Targets!$D$6+MIN(Targets!$B$7/MAX(S353,0.0001),1)*Targets!$D$7)</f>
        <v>0.5188831541</v>
      </c>
    </row>
    <row r="354">
      <c r="A354" s="18">
        <v>46239.0</v>
      </c>
      <c r="B354" s="19" t="s">
        <v>109</v>
      </c>
      <c r="C354" s="19" t="s">
        <v>14</v>
      </c>
      <c r="D354" s="19" t="s">
        <v>121</v>
      </c>
      <c r="E354" s="14">
        <f t="shared" si="1"/>
        <v>10</v>
      </c>
      <c r="F354" s="19">
        <f t="shared" si="2"/>
        <v>7</v>
      </c>
      <c r="G354" s="20">
        <f t="shared" si="3"/>
        <v>0.7</v>
      </c>
      <c r="H354" s="19">
        <v>34.0</v>
      </c>
      <c r="I354" s="19">
        <v>38.0</v>
      </c>
      <c r="J354" s="19">
        <v>1.0</v>
      </c>
      <c r="K354" s="19">
        <v>4.3</v>
      </c>
      <c r="L354" s="19">
        <v>42.0</v>
      </c>
      <c r="M354" s="19">
        <v>50.0</v>
      </c>
      <c r="N354" s="19">
        <v>6.4</v>
      </c>
      <c r="O354" s="19" t="s">
        <v>143</v>
      </c>
      <c r="P354" s="19" t="s">
        <v>178</v>
      </c>
      <c r="Q354" s="20">
        <f t="shared" si="4"/>
        <v>0.7</v>
      </c>
      <c r="R354" s="20">
        <f t="shared" si="5"/>
        <v>0.8947368421</v>
      </c>
      <c r="S354" s="20">
        <f t="shared" si="6"/>
        <v>0.02631578947</v>
      </c>
      <c r="T354" s="20">
        <f t="shared" si="7"/>
        <v>0.84</v>
      </c>
      <c r="U354" s="20">
        <f>IF(B354="","",MIN(Q354/Targets!$B$2,1)*Targets!$D$2+MIN(G354/100/Targets!$B$3,1)*Targets!$D$3+MIN(T354/Targets!$B$4,1)*Targets!$D$4+MIN(R354/Targets!$B$5,1)*Targets!$D$5+MIN(N354/Targets!$B$6,1)*Targets!$D$6+MIN(Targets!$B$7/MAX(S354,0.0001),1)*Targets!$D$7)</f>
        <v>0.6305916985</v>
      </c>
    </row>
    <row r="355">
      <c r="A355" s="18">
        <v>46239.0</v>
      </c>
      <c r="B355" s="19" t="s">
        <v>115</v>
      </c>
      <c r="C355" s="19" t="s">
        <v>167</v>
      </c>
      <c r="D355" s="19" t="s">
        <v>121</v>
      </c>
      <c r="E355" s="14">
        <f t="shared" si="1"/>
        <v>15</v>
      </c>
      <c r="F355" s="19">
        <f t="shared" si="2"/>
        <v>11</v>
      </c>
      <c r="G355" s="20">
        <f t="shared" si="3"/>
        <v>0.7333333333</v>
      </c>
      <c r="H355" s="19">
        <v>48.0</v>
      </c>
      <c r="I355" s="19">
        <v>51.0</v>
      </c>
      <c r="J355" s="19">
        <v>1.0</v>
      </c>
      <c r="K355" s="19">
        <v>2.2</v>
      </c>
      <c r="L355" s="19">
        <v>61.0</v>
      </c>
      <c r="M355" s="19">
        <v>66.0</v>
      </c>
      <c r="N355" s="19">
        <v>7.6</v>
      </c>
      <c r="O355" s="19" t="s">
        <v>143</v>
      </c>
      <c r="P355" s="19" t="s">
        <v>178</v>
      </c>
      <c r="Q355" s="20">
        <f t="shared" si="4"/>
        <v>0.7333333333</v>
      </c>
      <c r="R355" s="20">
        <f t="shared" si="5"/>
        <v>0.9411764706</v>
      </c>
      <c r="S355" s="20">
        <f t="shared" si="6"/>
        <v>0.01960784314</v>
      </c>
      <c r="T355" s="20">
        <f t="shared" si="7"/>
        <v>0.9242424242</v>
      </c>
      <c r="U355" s="20">
        <f>IF(B355="","",MIN(Q355/Targets!$B$2,1)*Targets!$D$2+MIN(G355/100/Targets!$B$3,1)*Targets!$D$3+MIN(T355/Targets!$B$4,1)*Targets!$D$4+MIN(R355/Targets!$B$5,1)*Targets!$D$5+MIN(N355/Targets!$B$6,1)*Targets!$D$6+MIN(Targets!$B$7/MAX(S355,0.0001),1)*Targets!$D$7)</f>
        <v>0.6640142186</v>
      </c>
    </row>
    <row r="356">
      <c r="A356" s="18">
        <v>46239.0</v>
      </c>
      <c r="B356" s="19" t="s">
        <v>118</v>
      </c>
      <c r="C356" s="19" t="s">
        <v>169</v>
      </c>
      <c r="D356" s="19" t="s">
        <v>121</v>
      </c>
      <c r="E356" s="14">
        <f t="shared" si="1"/>
        <v>11</v>
      </c>
      <c r="F356" s="19">
        <f t="shared" si="2"/>
        <v>14</v>
      </c>
      <c r="G356" s="20">
        <f t="shared" si="3"/>
        <v>1.272727273</v>
      </c>
      <c r="H356" s="19">
        <v>33.0</v>
      </c>
      <c r="I356" s="19">
        <v>36.0</v>
      </c>
      <c r="J356" s="19">
        <v>0.0</v>
      </c>
      <c r="K356" s="19">
        <v>4.4</v>
      </c>
      <c r="L356" s="19">
        <v>50.0</v>
      </c>
      <c r="M356" s="19">
        <v>53.0</v>
      </c>
      <c r="N356" s="19">
        <v>6.3</v>
      </c>
      <c r="O356" s="19" t="s">
        <v>143</v>
      </c>
      <c r="P356" s="19" t="s">
        <v>168</v>
      </c>
      <c r="Q356" s="20">
        <f t="shared" si="4"/>
        <v>1.272727273</v>
      </c>
      <c r="R356" s="20">
        <f t="shared" si="5"/>
        <v>0.9166666667</v>
      </c>
      <c r="S356" s="20">
        <f t="shared" si="6"/>
        <v>0</v>
      </c>
      <c r="T356" s="20">
        <f t="shared" si="7"/>
        <v>0.9433962264</v>
      </c>
      <c r="U356" s="20">
        <f>IF(B356="","",MIN(Q356/Targets!$B$2,1)*Targets!$D$2+MIN(G356/100/Targets!$B$3,1)*Targets!$D$3+MIN(T356/Targets!$B$4,1)*Targets!$D$4+MIN(R356/Targets!$B$5,1)*Targets!$D$5+MIN(N356/Targets!$B$6,1)*Targets!$D$6+MIN(Targets!$B$7/MAX(S356,0.0001),1)*Targets!$D$7)</f>
        <v>0.6889792663</v>
      </c>
    </row>
    <row r="357">
      <c r="A357" s="18">
        <v>46239.0</v>
      </c>
      <c r="B357" s="19" t="s">
        <v>123</v>
      </c>
      <c r="C357" s="19" t="s">
        <v>171</v>
      </c>
      <c r="D357" s="19" t="s">
        <v>121</v>
      </c>
      <c r="E357" s="14">
        <f t="shared" si="1"/>
        <v>16</v>
      </c>
      <c r="F357" s="19">
        <f t="shared" si="2"/>
        <v>12</v>
      </c>
      <c r="G357" s="20">
        <f t="shared" si="3"/>
        <v>0.75</v>
      </c>
      <c r="H357" s="19">
        <v>27.0</v>
      </c>
      <c r="I357" s="19">
        <v>31.0</v>
      </c>
      <c r="J357" s="19">
        <v>0.0</v>
      </c>
      <c r="K357" s="19">
        <v>3.1</v>
      </c>
      <c r="L357" s="19">
        <v>41.0</v>
      </c>
      <c r="M357" s="19">
        <v>48.0</v>
      </c>
      <c r="N357" s="19">
        <v>6.8</v>
      </c>
      <c r="O357" s="19" t="s">
        <v>143</v>
      </c>
      <c r="P357" s="19" t="s">
        <v>178</v>
      </c>
      <c r="Q357" s="20">
        <f t="shared" si="4"/>
        <v>0.75</v>
      </c>
      <c r="R357" s="20">
        <f t="shared" si="5"/>
        <v>0.8709677419</v>
      </c>
      <c r="S357" s="20">
        <f t="shared" si="6"/>
        <v>0</v>
      </c>
      <c r="T357" s="20">
        <f t="shared" si="7"/>
        <v>0.8541666667</v>
      </c>
      <c r="U357" s="20">
        <f>IF(B357="","",MIN(Q357/Targets!$B$2,1)*Targets!$D$2+MIN(G357/100/Targets!$B$3,1)*Targets!$D$3+MIN(T357/Targets!$B$4,1)*Targets!$D$4+MIN(R357/Targets!$B$5,1)*Targets!$D$5+MIN(N357/Targets!$B$6,1)*Targets!$D$6+MIN(Targets!$B$7/MAX(S357,0.0001),1)*Targets!$D$7)</f>
        <v>0.6461918573</v>
      </c>
    </row>
    <row r="358">
      <c r="A358" s="18">
        <v>46239.0</v>
      </c>
      <c r="B358" s="19" t="s">
        <v>126</v>
      </c>
      <c r="C358" s="19" t="s">
        <v>179</v>
      </c>
      <c r="D358" s="19" t="s">
        <v>121</v>
      </c>
      <c r="E358" s="14">
        <f t="shared" si="1"/>
        <v>13</v>
      </c>
      <c r="F358" s="19">
        <f t="shared" si="2"/>
        <v>6</v>
      </c>
      <c r="G358" s="20">
        <f t="shared" si="3"/>
        <v>0.4615384615</v>
      </c>
      <c r="H358" s="19">
        <v>30.0</v>
      </c>
      <c r="I358" s="19">
        <v>33.0</v>
      </c>
      <c r="J358" s="19">
        <v>1.0</v>
      </c>
      <c r="K358" s="19">
        <v>3.0</v>
      </c>
      <c r="L358" s="19">
        <v>41.0</v>
      </c>
      <c r="M358" s="19">
        <v>49.0</v>
      </c>
      <c r="N358" s="19">
        <v>6.8</v>
      </c>
      <c r="O358" s="19" t="s">
        <v>143</v>
      </c>
      <c r="P358" s="19" t="s">
        <v>189</v>
      </c>
      <c r="Q358" s="20">
        <f t="shared" si="4"/>
        <v>0.4615384615</v>
      </c>
      <c r="R358" s="20">
        <f t="shared" si="5"/>
        <v>0.9090909091</v>
      </c>
      <c r="S358" s="20">
        <f t="shared" si="6"/>
        <v>0.0303030303</v>
      </c>
      <c r="T358" s="20">
        <f t="shared" si="7"/>
        <v>0.8367346939</v>
      </c>
      <c r="U358" s="20">
        <f>IF(B358="","",MIN(Q358/Targets!$B$2,1)*Targets!$D$2+MIN(G358/100/Targets!$B$3,1)*Targets!$D$3+MIN(T358/Targets!$B$4,1)*Targets!$D$4+MIN(R358/Targets!$B$5,1)*Targets!$D$5+MIN(N358/Targets!$B$6,1)*Targets!$D$6+MIN(Targets!$B$7/MAX(S358,0.0001),1)*Targets!$D$7)</f>
        <v>0.5842418734</v>
      </c>
    </row>
    <row r="359">
      <c r="A359" s="18">
        <v>46239.0</v>
      </c>
      <c r="B359" s="19" t="s">
        <v>129</v>
      </c>
      <c r="C359" s="19" t="s">
        <v>188</v>
      </c>
      <c r="D359" s="19" t="s">
        <v>121</v>
      </c>
      <c r="E359" s="14">
        <f t="shared" si="1"/>
        <v>8</v>
      </c>
      <c r="F359" s="19">
        <f t="shared" si="2"/>
        <v>12</v>
      </c>
      <c r="G359" s="20">
        <f t="shared" si="3"/>
        <v>1.5</v>
      </c>
      <c r="H359" s="19">
        <v>32.0</v>
      </c>
      <c r="I359" s="19">
        <v>34.0</v>
      </c>
      <c r="J359" s="19">
        <v>2.0</v>
      </c>
      <c r="K359" s="19">
        <v>3.9</v>
      </c>
      <c r="L359" s="19">
        <v>23.0</v>
      </c>
      <c r="M359" s="19">
        <v>26.0</v>
      </c>
      <c r="N359" s="19">
        <v>4.1</v>
      </c>
      <c r="O359" s="19" t="s">
        <v>200</v>
      </c>
      <c r="P359" s="19" t="s">
        <v>186</v>
      </c>
      <c r="Q359" s="20">
        <f t="shared" si="4"/>
        <v>1.5</v>
      </c>
      <c r="R359" s="20">
        <f t="shared" si="5"/>
        <v>0.9411764706</v>
      </c>
      <c r="S359" s="20">
        <f t="shared" si="6"/>
        <v>0.05882352941</v>
      </c>
      <c r="T359" s="20">
        <f t="shared" si="7"/>
        <v>0.8846153846</v>
      </c>
      <c r="U359" s="20">
        <f>IF(B359="","",MIN(Q359/Targets!$B$2,1)*Targets!$D$2+MIN(G359/100/Targets!$B$3,1)*Targets!$D$3+MIN(T359/Targets!$B$4,1)*Targets!$D$4+MIN(R359/Targets!$B$5,1)*Targets!$D$5+MIN(N359/Targets!$B$6,1)*Targets!$D$6+MIN(Targets!$B$7/MAX(S359,0.0001),1)*Targets!$D$7)</f>
        <v>0.6446141372</v>
      </c>
    </row>
    <row r="360">
      <c r="A360" s="18">
        <v>46239.0</v>
      </c>
      <c r="B360" s="19" t="s">
        <v>132</v>
      </c>
      <c r="C360" s="19" t="s">
        <v>190</v>
      </c>
      <c r="D360" s="19" t="s">
        <v>121</v>
      </c>
      <c r="E360" s="14">
        <f t="shared" si="1"/>
        <v>9</v>
      </c>
      <c r="F360" s="19">
        <f t="shared" si="2"/>
        <v>12</v>
      </c>
      <c r="G360" s="20">
        <f t="shared" si="3"/>
        <v>1.333333333</v>
      </c>
      <c r="H360" s="19">
        <v>40.0</v>
      </c>
      <c r="I360" s="19">
        <v>42.0</v>
      </c>
      <c r="J360" s="19">
        <v>1.0</v>
      </c>
      <c r="K360" s="19">
        <v>2.6</v>
      </c>
      <c r="L360" s="19">
        <v>51.0</v>
      </c>
      <c r="M360" s="19">
        <v>59.0</v>
      </c>
      <c r="N360" s="19">
        <v>8.0</v>
      </c>
      <c r="O360" s="19" t="s">
        <v>143</v>
      </c>
      <c r="P360" s="19" t="s">
        <v>144</v>
      </c>
      <c r="Q360" s="20">
        <f t="shared" si="4"/>
        <v>1.333333333</v>
      </c>
      <c r="R360" s="20">
        <f t="shared" si="5"/>
        <v>0.9523809524</v>
      </c>
      <c r="S360" s="20">
        <f t="shared" si="6"/>
        <v>0.02380952381</v>
      </c>
      <c r="T360" s="20">
        <f t="shared" si="7"/>
        <v>0.8644067797</v>
      </c>
      <c r="U360" s="20">
        <f>IF(B360="","",MIN(Q360/Targets!$B$2,1)*Targets!$D$2+MIN(G360/100/Targets!$B$3,1)*Targets!$D$3+MIN(T360/Targets!$B$4,1)*Targets!$D$4+MIN(R360/Targets!$B$5,1)*Targets!$D$5+MIN(N360/Targets!$B$6,1)*Targets!$D$6+MIN(Targets!$B$7/MAX(S360,0.0001),1)*Targets!$D$7)</f>
        <v>0.6985122411</v>
      </c>
    </row>
    <row r="361">
      <c r="A361" s="18">
        <v>46239.0</v>
      </c>
      <c r="B361" s="19" t="s">
        <v>135</v>
      </c>
      <c r="C361" s="19" t="s">
        <v>169</v>
      </c>
      <c r="D361" s="19" t="s">
        <v>121</v>
      </c>
      <c r="E361" s="14">
        <f t="shared" si="1"/>
        <v>6</v>
      </c>
      <c r="F361" s="19">
        <f t="shared" si="2"/>
        <v>9</v>
      </c>
      <c r="G361" s="20">
        <f t="shared" si="3"/>
        <v>1.5</v>
      </c>
      <c r="H361" s="19">
        <v>35.0</v>
      </c>
      <c r="I361" s="19">
        <v>40.0</v>
      </c>
      <c r="J361" s="19">
        <v>2.0</v>
      </c>
      <c r="K361" s="19">
        <v>3.5</v>
      </c>
      <c r="L361" s="19">
        <v>50.0</v>
      </c>
      <c r="M361" s="19">
        <v>55.0</v>
      </c>
      <c r="N361" s="19">
        <v>6.5</v>
      </c>
      <c r="O361" s="19" t="s">
        <v>143</v>
      </c>
      <c r="P361" s="19" t="s">
        <v>189</v>
      </c>
      <c r="Q361" s="20">
        <f t="shared" si="4"/>
        <v>1.5</v>
      </c>
      <c r="R361" s="20">
        <f t="shared" si="5"/>
        <v>0.875</v>
      </c>
      <c r="S361" s="20">
        <f t="shared" si="6"/>
        <v>0.05</v>
      </c>
      <c r="T361" s="20">
        <f t="shared" si="7"/>
        <v>0.9090909091</v>
      </c>
      <c r="U361" s="20">
        <f>IF(B361="","",MIN(Q361/Targets!$B$2,1)*Targets!$D$2+MIN(G361/100/Targets!$B$3,1)*Targets!$D$3+MIN(T361/Targets!$B$4,1)*Targets!$D$4+MIN(R361/Targets!$B$5,1)*Targets!$D$5+MIN(N361/Targets!$B$6,1)*Targets!$D$6+MIN(Targets!$B$7/MAX(S361,0.0001),1)*Targets!$D$7)</f>
        <v>0.6860150376</v>
      </c>
    </row>
    <row r="362">
      <c r="A362" s="18">
        <v>46240.0</v>
      </c>
      <c r="B362" s="19" t="s">
        <v>10</v>
      </c>
      <c r="C362" s="19" t="s">
        <v>14</v>
      </c>
      <c r="D362" s="19" t="s">
        <v>121</v>
      </c>
      <c r="E362" s="14">
        <f t="shared" si="1"/>
        <v>8</v>
      </c>
      <c r="F362" s="19">
        <f t="shared" si="2"/>
        <v>7</v>
      </c>
      <c r="G362" s="20">
        <f t="shared" si="3"/>
        <v>0.875</v>
      </c>
      <c r="H362" s="19">
        <v>42.0</v>
      </c>
      <c r="I362" s="19">
        <v>45.0</v>
      </c>
      <c r="J362" s="19">
        <v>3.0</v>
      </c>
      <c r="K362" s="19">
        <v>2.4</v>
      </c>
      <c r="L362" s="19">
        <v>54.0</v>
      </c>
      <c r="M362" s="19">
        <v>56.0</v>
      </c>
      <c r="N362" s="19">
        <v>7.7</v>
      </c>
      <c r="O362" s="19" t="s">
        <v>143</v>
      </c>
      <c r="P362" s="19" t="s">
        <v>191</v>
      </c>
      <c r="Q362" s="20">
        <f t="shared" si="4"/>
        <v>0.875</v>
      </c>
      <c r="R362" s="20">
        <f t="shared" si="5"/>
        <v>0.9333333333</v>
      </c>
      <c r="S362" s="20">
        <f t="shared" si="6"/>
        <v>0.06666666667</v>
      </c>
      <c r="T362" s="20">
        <f t="shared" si="7"/>
        <v>0.9642857143</v>
      </c>
      <c r="U362" s="20">
        <f>IF(B362="","",MIN(Q362/Targets!$B$2,1)*Targets!$D$2+MIN(G362/100/Targets!$B$3,1)*Targets!$D$3+MIN(T362/Targets!$B$4,1)*Targets!$D$4+MIN(R362/Targets!$B$5,1)*Targets!$D$5+MIN(N362/Targets!$B$6,1)*Targets!$D$6+MIN(Targets!$B$7/MAX(S362,0.0001),1)*Targets!$D$7)</f>
        <v>0.6697295322</v>
      </c>
    </row>
    <row r="363">
      <c r="A363" s="18">
        <v>46240.0</v>
      </c>
      <c r="B363" s="19" t="s">
        <v>25</v>
      </c>
      <c r="C363" s="19" t="s">
        <v>167</v>
      </c>
      <c r="D363" s="19" t="s">
        <v>121</v>
      </c>
      <c r="E363" s="14">
        <f t="shared" si="1"/>
        <v>6</v>
      </c>
      <c r="F363" s="19">
        <f t="shared" si="2"/>
        <v>13</v>
      </c>
      <c r="G363" s="20">
        <f t="shared" si="3"/>
        <v>2.166666667</v>
      </c>
      <c r="H363" s="19">
        <v>32.0</v>
      </c>
      <c r="I363" s="19">
        <v>35.0</v>
      </c>
      <c r="J363" s="19">
        <v>1.0</v>
      </c>
      <c r="K363" s="19">
        <v>3.9</v>
      </c>
      <c r="L363" s="19">
        <v>40.0</v>
      </c>
      <c r="M363" s="19">
        <v>48.0</v>
      </c>
      <c r="N363" s="19">
        <v>7.6</v>
      </c>
      <c r="O363" s="19" t="s">
        <v>143</v>
      </c>
      <c r="P363" s="19" t="s">
        <v>191</v>
      </c>
      <c r="Q363" s="20">
        <f t="shared" si="4"/>
        <v>2.166666667</v>
      </c>
      <c r="R363" s="20">
        <f t="shared" si="5"/>
        <v>0.9142857143</v>
      </c>
      <c r="S363" s="20">
        <f t="shared" si="6"/>
        <v>0.02857142857</v>
      </c>
      <c r="T363" s="20">
        <f t="shared" si="7"/>
        <v>0.8333333333</v>
      </c>
      <c r="U363" s="20">
        <f>IF(B363="","",MIN(Q363/Targets!$B$2,1)*Targets!$D$2+MIN(G363/100/Targets!$B$3,1)*Targets!$D$3+MIN(T363/Targets!$B$4,1)*Targets!$D$4+MIN(R363/Targets!$B$5,1)*Targets!$D$5+MIN(N363/Targets!$B$6,1)*Targets!$D$6+MIN(Targets!$B$7/MAX(S363,0.0001),1)*Targets!$D$7)</f>
        <v>0.6904720134</v>
      </c>
    </row>
    <row r="364">
      <c r="A364" s="18">
        <v>46240.0</v>
      </c>
      <c r="B364" s="19" t="s">
        <v>37</v>
      </c>
      <c r="C364" s="19" t="s">
        <v>169</v>
      </c>
      <c r="D364" s="19" t="s">
        <v>121</v>
      </c>
      <c r="E364" s="14">
        <f t="shared" si="1"/>
        <v>7</v>
      </c>
      <c r="F364" s="19">
        <f t="shared" si="2"/>
        <v>6</v>
      </c>
      <c r="G364" s="20">
        <f t="shared" si="3"/>
        <v>0.8571428571</v>
      </c>
      <c r="H364" s="19">
        <v>28.0</v>
      </c>
      <c r="I364" s="19">
        <v>32.0</v>
      </c>
      <c r="J364" s="19">
        <v>2.0</v>
      </c>
      <c r="K364" s="19">
        <v>4.5</v>
      </c>
      <c r="L364" s="19">
        <v>34.0</v>
      </c>
      <c r="M364" s="19">
        <v>49.0</v>
      </c>
      <c r="N364" s="19">
        <v>5.1</v>
      </c>
      <c r="O364" s="19" t="s">
        <v>143</v>
      </c>
      <c r="P364" s="19" t="s">
        <v>168</v>
      </c>
      <c r="Q364" s="20">
        <f t="shared" si="4"/>
        <v>0.8571428571</v>
      </c>
      <c r="R364" s="20">
        <f t="shared" si="5"/>
        <v>0.875</v>
      </c>
      <c r="S364" s="20">
        <f t="shared" si="6"/>
        <v>0.0625</v>
      </c>
      <c r="T364" s="20">
        <f t="shared" si="7"/>
        <v>0.693877551</v>
      </c>
      <c r="U364" s="20">
        <f>IF(B364="","",MIN(Q364/Targets!$B$2,1)*Targets!$D$2+MIN(G364/100/Targets!$B$3,1)*Targets!$D$3+MIN(T364/Targets!$B$4,1)*Targets!$D$4+MIN(R364/Targets!$B$5,1)*Targets!$D$5+MIN(N364/Targets!$B$6,1)*Targets!$D$6+MIN(Targets!$B$7/MAX(S364,0.0001),1)*Targets!$D$7)</f>
        <v>0.5999946294</v>
      </c>
    </row>
    <row r="365">
      <c r="A365" s="18">
        <v>46240.0</v>
      </c>
      <c r="B365" s="19" t="s">
        <v>42</v>
      </c>
      <c r="C365" s="19" t="s">
        <v>171</v>
      </c>
      <c r="D365" s="19" t="s">
        <v>121</v>
      </c>
      <c r="E365" s="14">
        <f t="shared" si="1"/>
        <v>11</v>
      </c>
      <c r="F365" s="19">
        <f t="shared" si="2"/>
        <v>7</v>
      </c>
      <c r="G365" s="20">
        <f t="shared" si="3"/>
        <v>0.6363636364</v>
      </c>
      <c r="H365" s="19">
        <v>37.0</v>
      </c>
      <c r="I365" s="19">
        <v>39.0</v>
      </c>
      <c r="J365" s="19">
        <v>3.0</v>
      </c>
      <c r="K365" s="19">
        <v>4.1</v>
      </c>
      <c r="L365" s="19">
        <v>40.0</v>
      </c>
      <c r="M365" s="19">
        <v>51.0</v>
      </c>
      <c r="N365" s="19">
        <v>6.8</v>
      </c>
      <c r="O365" s="19" t="s">
        <v>143</v>
      </c>
      <c r="P365" s="19" t="s">
        <v>187</v>
      </c>
      <c r="Q365" s="20">
        <f t="shared" si="4"/>
        <v>0.6363636364</v>
      </c>
      <c r="R365" s="20">
        <f t="shared" si="5"/>
        <v>0.9487179487</v>
      </c>
      <c r="S365" s="20">
        <f t="shared" si="6"/>
        <v>0.07692307692</v>
      </c>
      <c r="T365" s="20">
        <f t="shared" si="7"/>
        <v>0.7843137255</v>
      </c>
      <c r="U365" s="20">
        <f>IF(B365="","",MIN(Q365/Targets!$B$2,1)*Targets!$D$2+MIN(G365/100/Targets!$B$3,1)*Targets!$D$3+MIN(T365/Targets!$B$4,1)*Targets!$D$4+MIN(R365/Targets!$B$5,1)*Targets!$D$5+MIN(N365/Targets!$B$6,1)*Targets!$D$6+MIN(Targets!$B$7/MAX(S365,0.0001),1)*Targets!$D$7)</f>
        <v>0.5861947358</v>
      </c>
    </row>
    <row r="366">
      <c r="A366" s="18">
        <v>46240.0</v>
      </c>
      <c r="B366" s="19" t="s">
        <v>46</v>
      </c>
      <c r="C366" s="19" t="s">
        <v>179</v>
      </c>
      <c r="D366" s="19" t="s">
        <v>121</v>
      </c>
      <c r="E366" s="14">
        <f t="shared" si="1"/>
        <v>13</v>
      </c>
      <c r="F366" s="19">
        <f t="shared" si="2"/>
        <v>6</v>
      </c>
      <c r="G366" s="20">
        <f t="shared" si="3"/>
        <v>0.4615384615</v>
      </c>
      <c r="H366" s="19">
        <v>36.0</v>
      </c>
      <c r="I366" s="19">
        <v>37.0</v>
      </c>
      <c r="J366" s="19">
        <v>0.0</v>
      </c>
      <c r="K366" s="19">
        <v>1.5</v>
      </c>
      <c r="L366" s="19">
        <v>51.0</v>
      </c>
      <c r="M366" s="19">
        <v>55.0</v>
      </c>
      <c r="N366" s="19">
        <v>8.5</v>
      </c>
      <c r="O366" s="19" t="s">
        <v>143</v>
      </c>
      <c r="P366" s="19" t="s">
        <v>144</v>
      </c>
      <c r="Q366" s="20">
        <f t="shared" si="4"/>
        <v>0.4615384615</v>
      </c>
      <c r="R366" s="20">
        <f t="shared" si="5"/>
        <v>0.972972973</v>
      </c>
      <c r="S366" s="20">
        <f t="shared" si="6"/>
        <v>0</v>
      </c>
      <c r="T366" s="20">
        <f t="shared" si="7"/>
        <v>0.9272727273</v>
      </c>
      <c r="U366" s="20">
        <f>IF(B366="","",MIN(Q366/Targets!$B$2,1)*Targets!$D$2+MIN(G366/100/Targets!$B$3,1)*Targets!$D$3+MIN(T366/Targets!$B$4,1)*Targets!$D$4+MIN(R366/Targets!$B$5,1)*Targets!$D$5+MIN(N366/Targets!$B$6,1)*Targets!$D$6+MIN(Targets!$B$7/MAX(S366,0.0001),1)*Targets!$D$7)</f>
        <v>0.6041025641</v>
      </c>
    </row>
    <row r="367">
      <c r="A367" s="18">
        <v>46240.0</v>
      </c>
      <c r="B367" s="19" t="s">
        <v>53</v>
      </c>
      <c r="C367" s="19" t="s">
        <v>14</v>
      </c>
      <c r="D367" s="19" t="s">
        <v>121</v>
      </c>
      <c r="E367" s="14">
        <f t="shared" si="1"/>
        <v>11</v>
      </c>
      <c r="F367" s="19">
        <f t="shared" si="2"/>
        <v>12</v>
      </c>
      <c r="G367" s="20">
        <f t="shared" si="3"/>
        <v>1.090909091</v>
      </c>
      <c r="H367" s="19">
        <v>33.0</v>
      </c>
      <c r="I367" s="19">
        <v>38.0</v>
      </c>
      <c r="J367" s="19">
        <v>1.0</v>
      </c>
      <c r="K367" s="19">
        <v>2.8</v>
      </c>
      <c r="L367" s="19">
        <v>47.0</v>
      </c>
      <c r="M367" s="19">
        <v>56.0</v>
      </c>
      <c r="N367" s="19">
        <v>6.6</v>
      </c>
      <c r="O367" s="19" t="s">
        <v>143</v>
      </c>
      <c r="P367" s="19" t="s">
        <v>189</v>
      </c>
      <c r="Q367" s="20">
        <f t="shared" si="4"/>
        <v>1.090909091</v>
      </c>
      <c r="R367" s="20">
        <f t="shared" si="5"/>
        <v>0.8684210526</v>
      </c>
      <c r="S367" s="20">
        <f t="shared" si="6"/>
        <v>0.02631578947</v>
      </c>
      <c r="T367" s="20">
        <f t="shared" si="7"/>
        <v>0.8392857143</v>
      </c>
      <c r="U367" s="20">
        <f>IF(B367="","",MIN(Q367/Targets!$B$2,1)*Targets!$D$2+MIN(G367/100/Targets!$B$3,1)*Targets!$D$3+MIN(T367/Targets!$B$4,1)*Targets!$D$4+MIN(R367/Targets!$B$5,1)*Targets!$D$5+MIN(N367/Targets!$B$6,1)*Targets!$D$6+MIN(Targets!$B$7/MAX(S367,0.0001),1)*Targets!$D$7)</f>
        <v>0.6749221439</v>
      </c>
    </row>
    <row r="368">
      <c r="A368" s="18">
        <v>46240.0</v>
      </c>
      <c r="B368" s="19" t="s">
        <v>65</v>
      </c>
      <c r="C368" s="19" t="s">
        <v>167</v>
      </c>
      <c r="D368" s="19" t="s">
        <v>121</v>
      </c>
      <c r="E368" s="14">
        <f t="shared" si="1"/>
        <v>12</v>
      </c>
      <c r="F368" s="19">
        <f t="shared" si="2"/>
        <v>10</v>
      </c>
      <c r="G368" s="20">
        <f t="shared" si="3"/>
        <v>0.8333333333</v>
      </c>
      <c r="H368" s="19">
        <v>59.0</v>
      </c>
      <c r="I368" s="19">
        <v>60.0</v>
      </c>
      <c r="J368" s="19">
        <v>5.0</v>
      </c>
      <c r="K368" s="19">
        <v>1.7</v>
      </c>
      <c r="L368" s="19">
        <v>57.0</v>
      </c>
      <c r="M368" s="19">
        <v>63.0</v>
      </c>
      <c r="N368" s="19">
        <v>7.4</v>
      </c>
      <c r="O368" s="19" t="s">
        <v>143</v>
      </c>
      <c r="P368" s="19" t="s">
        <v>191</v>
      </c>
      <c r="Q368" s="20">
        <f t="shared" si="4"/>
        <v>0.8333333333</v>
      </c>
      <c r="R368" s="20">
        <f t="shared" si="5"/>
        <v>0.9833333333</v>
      </c>
      <c r="S368" s="20">
        <f t="shared" si="6"/>
        <v>0.08333333333</v>
      </c>
      <c r="T368" s="20">
        <f t="shared" si="7"/>
        <v>0.9047619048</v>
      </c>
      <c r="U368" s="20">
        <f>IF(B368="","",MIN(Q368/Targets!$B$2,1)*Targets!$D$2+MIN(G368/100/Targets!$B$3,1)*Targets!$D$3+MIN(T368/Targets!$B$4,1)*Targets!$D$4+MIN(R368/Targets!$B$5,1)*Targets!$D$5+MIN(N368/Targets!$B$6,1)*Targets!$D$6+MIN(Targets!$B$7/MAX(S368,0.0001),1)*Targets!$D$7)</f>
        <v>0.647962963</v>
      </c>
    </row>
    <row r="369">
      <c r="A369" s="18">
        <v>46240.0</v>
      </c>
      <c r="B369" s="19" t="s">
        <v>73</v>
      </c>
      <c r="C369" s="19" t="s">
        <v>169</v>
      </c>
      <c r="D369" s="19" t="s">
        <v>121</v>
      </c>
      <c r="E369" s="14">
        <f t="shared" si="1"/>
        <v>13</v>
      </c>
      <c r="F369" s="19">
        <f t="shared" si="2"/>
        <v>10</v>
      </c>
      <c r="G369" s="20">
        <f t="shared" si="3"/>
        <v>0.7692307692</v>
      </c>
      <c r="H369" s="19">
        <v>31.0</v>
      </c>
      <c r="I369" s="19">
        <v>34.0</v>
      </c>
      <c r="J369" s="19">
        <v>2.0</v>
      </c>
      <c r="K369" s="19">
        <v>3.5</v>
      </c>
      <c r="L369" s="19">
        <v>41.0</v>
      </c>
      <c r="M369" s="19">
        <v>49.0</v>
      </c>
      <c r="N369" s="19">
        <v>6.3</v>
      </c>
      <c r="O369" s="19" t="s">
        <v>143</v>
      </c>
      <c r="P369" s="19" t="s">
        <v>191</v>
      </c>
      <c r="Q369" s="20">
        <f t="shared" si="4"/>
        <v>0.7692307692</v>
      </c>
      <c r="R369" s="20">
        <f t="shared" si="5"/>
        <v>0.9117647059</v>
      </c>
      <c r="S369" s="20">
        <f t="shared" si="6"/>
        <v>0.05882352941</v>
      </c>
      <c r="T369" s="20">
        <f t="shared" si="7"/>
        <v>0.8367346939</v>
      </c>
      <c r="U369" s="20">
        <f>IF(B369="","",MIN(Q369/Targets!$B$2,1)*Targets!$D$2+MIN(G369/100/Targets!$B$3,1)*Targets!$D$3+MIN(T369/Targets!$B$4,1)*Targets!$D$4+MIN(R369/Targets!$B$5,1)*Targets!$D$5+MIN(N369/Targets!$B$6,1)*Targets!$D$6+MIN(Targets!$B$7/MAX(S369,0.0001),1)*Targets!$D$7)</f>
        <v>0.6319229041</v>
      </c>
    </row>
    <row r="370">
      <c r="A370" s="18">
        <v>46240.0</v>
      </c>
      <c r="B370" s="19" t="s">
        <v>78</v>
      </c>
      <c r="C370" s="19" t="s">
        <v>171</v>
      </c>
      <c r="D370" s="19" t="s">
        <v>121</v>
      </c>
      <c r="E370" s="14">
        <f t="shared" si="1"/>
        <v>8</v>
      </c>
      <c r="F370" s="19">
        <f t="shared" si="2"/>
        <v>7</v>
      </c>
      <c r="G370" s="20">
        <f t="shared" si="3"/>
        <v>0.875</v>
      </c>
      <c r="H370" s="19">
        <v>24.0</v>
      </c>
      <c r="I370" s="19">
        <v>26.0</v>
      </c>
      <c r="J370" s="19">
        <v>0.0</v>
      </c>
      <c r="K370" s="19">
        <v>4.5</v>
      </c>
      <c r="L370" s="19">
        <v>36.0</v>
      </c>
      <c r="M370" s="19">
        <v>43.0</v>
      </c>
      <c r="N370" s="19">
        <v>8.0</v>
      </c>
      <c r="O370" s="19" t="s">
        <v>143</v>
      </c>
      <c r="P370" s="19" t="s">
        <v>144</v>
      </c>
      <c r="Q370" s="20">
        <f t="shared" si="4"/>
        <v>0.875</v>
      </c>
      <c r="R370" s="20">
        <f t="shared" si="5"/>
        <v>0.9230769231</v>
      </c>
      <c r="S370" s="20">
        <f t="shared" si="6"/>
        <v>0</v>
      </c>
      <c r="T370" s="20">
        <f t="shared" si="7"/>
        <v>0.8372093023</v>
      </c>
      <c r="U370" s="20">
        <f>IF(B370="","",MIN(Q370/Targets!$B$2,1)*Targets!$D$2+MIN(G370/100/Targets!$B$3,1)*Targets!$D$3+MIN(T370/Targets!$B$4,1)*Targets!$D$4+MIN(R370/Targets!$B$5,1)*Targets!$D$5+MIN(N370/Targets!$B$6,1)*Targets!$D$6+MIN(Targets!$B$7/MAX(S370,0.0001),1)*Targets!$D$7)</f>
        <v>0.6826449827</v>
      </c>
    </row>
    <row r="371">
      <c r="A371" s="18">
        <v>46240.0</v>
      </c>
      <c r="B371" s="19" t="s">
        <v>84</v>
      </c>
      <c r="C371" s="19" t="s">
        <v>179</v>
      </c>
      <c r="D371" s="19" t="s">
        <v>121</v>
      </c>
      <c r="E371" s="14">
        <f t="shared" si="1"/>
        <v>7</v>
      </c>
      <c r="F371" s="19">
        <f t="shared" si="2"/>
        <v>8</v>
      </c>
      <c r="G371" s="20">
        <f t="shared" si="3"/>
        <v>1.142857143</v>
      </c>
      <c r="H371" s="19">
        <v>38.0</v>
      </c>
      <c r="I371" s="19">
        <v>43.0</v>
      </c>
      <c r="J371" s="19">
        <v>2.0</v>
      </c>
      <c r="K371" s="19">
        <v>4.1</v>
      </c>
      <c r="L371" s="19">
        <v>51.0</v>
      </c>
      <c r="M371" s="19">
        <v>63.0</v>
      </c>
      <c r="N371" s="19">
        <v>6.9</v>
      </c>
      <c r="O371" s="19" t="s">
        <v>143</v>
      </c>
      <c r="P371" s="19" t="s">
        <v>168</v>
      </c>
      <c r="Q371" s="20">
        <f t="shared" si="4"/>
        <v>1.142857143</v>
      </c>
      <c r="R371" s="20">
        <f t="shared" si="5"/>
        <v>0.8837209302</v>
      </c>
      <c r="S371" s="20">
        <f t="shared" si="6"/>
        <v>0.04651162791</v>
      </c>
      <c r="T371" s="20">
        <f t="shared" si="7"/>
        <v>0.8095238095</v>
      </c>
      <c r="U371" s="20">
        <f>IF(B371="","",MIN(Q371/Targets!$B$2,1)*Targets!$D$2+MIN(G371/100/Targets!$B$3,1)*Targets!$D$3+MIN(T371/Targets!$B$4,1)*Targets!$D$4+MIN(R371/Targets!$B$5,1)*Targets!$D$5+MIN(N371/Targets!$B$6,1)*Targets!$D$6+MIN(Targets!$B$7/MAX(S371,0.0001),1)*Targets!$D$7)</f>
        <v>0.676836471</v>
      </c>
    </row>
    <row r="372">
      <c r="A372" s="18">
        <v>46240.0</v>
      </c>
      <c r="B372" s="19" t="s">
        <v>91</v>
      </c>
      <c r="C372" s="19" t="s">
        <v>188</v>
      </c>
      <c r="D372" s="19" t="s">
        <v>121</v>
      </c>
      <c r="E372" s="14">
        <f t="shared" si="1"/>
        <v>15</v>
      </c>
      <c r="F372" s="19">
        <f t="shared" si="2"/>
        <v>10</v>
      </c>
      <c r="G372" s="20">
        <f t="shared" si="3"/>
        <v>0.6666666667</v>
      </c>
      <c r="H372" s="19">
        <v>21.0</v>
      </c>
      <c r="I372" s="19">
        <v>26.0</v>
      </c>
      <c r="J372" s="19">
        <v>0.0</v>
      </c>
      <c r="K372" s="19">
        <v>4.1</v>
      </c>
      <c r="L372" s="19">
        <v>16.0</v>
      </c>
      <c r="M372" s="19">
        <v>24.0</v>
      </c>
      <c r="N372" s="19">
        <v>3.0</v>
      </c>
      <c r="O372" s="19" t="s">
        <v>200</v>
      </c>
      <c r="P372" s="19" t="s">
        <v>168</v>
      </c>
      <c r="Q372" s="20">
        <f t="shared" si="4"/>
        <v>0.6666666667</v>
      </c>
      <c r="R372" s="20">
        <f t="shared" si="5"/>
        <v>0.8076923077</v>
      </c>
      <c r="S372" s="20">
        <f t="shared" si="6"/>
        <v>0</v>
      </c>
      <c r="T372" s="20">
        <f t="shared" si="7"/>
        <v>0.6666666667</v>
      </c>
      <c r="U372" s="20">
        <f>IF(B372="","",MIN(Q372/Targets!$B$2,1)*Targets!$D$2+MIN(G372/100/Targets!$B$3,1)*Targets!$D$3+MIN(T372/Targets!$B$4,1)*Targets!$D$4+MIN(R372/Targets!$B$5,1)*Targets!$D$5+MIN(N372/Targets!$B$6,1)*Targets!$D$6+MIN(Targets!$B$7/MAX(S372,0.0001),1)*Targets!$D$7)</f>
        <v>0.5318689887</v>
      </c>
    </row>
    <row r="373">
      <c r="A373" s="18">
        <v>46240.0</v>
      </c>
      <c r="B373" s="19" t="s">
        <v>100</v>
      </c>
      <c r="C373" s="19" t="s">
        <v>190</v>
      </c>
      <c r="D373" s="19" t="s">
        <v>121</v>
      </c>
      <c r="E373" s="14">
        <f t="shared" si="1"/>
        <v>7</v>
      </c>
      <c r="F373" s="19">
        <f t="shared" si="2"/>
        <v>15</v>
      </c>
      <c r="G373" s="20">
        <f t="shared" si="3"/>
        <v>2.142857143</v>
      </c>
      <c r="H373" s="19">
        <v>35.0</v>
      </c>
      <c r="I373" s="19">
        <v>40.0</v>
      </c>
      <c r="J373" s="19">
        <v>1.0</v>
      </c>
      <c r="K373" s="19">
        <v>2.8</v>
      </c>
      <c r="L373" s="19">
        <v>47.0</v>
      </c>
      <c r="M373" s="19">
        <v>51.0</v>
      </c>
      <c r="N373" s="19">
        <v>6.5</v>
      </c>
      <c r="O373" s="19" t="s">
        <v>143</v>
      </c>
      <c r="P373" s="19" t="s">
        <v>186</v>
      </c>
      <c r="Q373" s="20">
        <f t="shared" si="4"/>
        <v>2.142857143</v>
      </c>
      <c r="R373" s="20">
        <f t="shared" si="5"/>
        <v>0.875</v>
      </c>
      <c r="S373" s="20">
        <f t="shared" si="6"/>
        <v>0.025</v>
      </c>
      <c r="T373" s="20">
        <f t="shared" si="7"/>
        <v>0.9215686275</v>
      </c>
      <c r="U373" s="20">
        <f>IF(B373="","",MIN(Q373/Targets!$B$2,1)*Targets!$D$2+MIN(G373/100/Targets!$B$3,1)*Targets!$D$3+MIN(T373/Targets!$B$4,1)*Targets!$D$4+MIN(R373/Targets!$B$5,1)*Targets!$D$5+MIN(N373/Targets!$B$6,1)*Targets!$D$6+MIN(Targets!$B$7/MAX(S373,0.0001),1)*Targets!$D$7)</f>
        <v>0.6881578947</v>
      </c>
    </row>
    <row r="374">
      <c r="A374" s="18">
        <v>46240.0</v>
      </c>
      <c r="B374" s="19" t="s">
        <v>109</v>
      </c>
      <c r="C374" s="19" t="s">
        <v>14</v>
      </c>
      <c r="D374" s="19" t="s">
        <v>121</v>
      </c>
      <c r="E374" s="14">
        <f t="shared" si="1"/>
        <v>14</v>
      </c>
      <c r="F374" s="19">
        <f t="shared" si="2"/>
        <v>15</v>
      </c>
      <c r="G374" s="20">
        <f t="shared" si="3"/>
        <v>1.071428571</v>
      </c>
      <c r="H374" s="19">
        <v>32.0</v>
      </c>
      <c r="I374" s="19">
        <v>35.0</v>
      </c>
      <c r="J374" s="19">
        <v>2.0</v>
      </c>
      <c r="K374" s="19">
        <v>4.2</v>
      </c>
      <c r="L374" s="19">
        <v>40.0</v>
      </c>
      <c r="M374" s="19">
        <v>43.0</v>
      </c>
      <c r="N374" s="19">
        <v>7.7</v>
      </c>
      <c r="O374" s="19" t="s">
        <v>143</v>
      </c>
      <c r="P374" s="19" t="s">
        <v>186</v>
      </c>
      <c r="Q374" s="20">
        <f t="shared" si="4"/>
        <v>1.071428571</v>
      </c>
      <c r="R374" s="20">
        <f t="shared" si="5"/>
        <v>0.9142857143</v>
      </c>
      <c r="S374" s="20">
        <f t="shared" si="6"/>
        <v>0.05714285714</v>
      </c>
      <c r="T374" s="20">
        <f t="shared" si="7"/>
        <v>0.9302325581</v>
      </c>
      <c r="U374" s="20">
        <f>IF(B374="","",MIN(Q374/Targets!$B$2,1)*Targets!$D$2+MIN(G374/100/Targets!$B$3,1)*Targets!$D$3+MIN(T374/Targets!$B$4,1)*Targets!$D$4+MIN(R374/Targets!$B$5,1)*Targets!$D$5+MIN(N374/Targets!$B$6,1)*Targets!$D$6+MIN(Targets!$B$7/MAX(S374,0.0001),1)*Targets!$D$7)</f>
        <v>0.6854323308</v>
      </c>
    </row>
    <row r="375">
      <c r="A375" s="18">
        <v>46240.0</v>
      </c>
      <c r="B375" s="19" t="s">
        <v>115</v>
      </c>
      <c r="C375" s="19" t="s">
        <v>167</v>
      </c>
      <c r="D375" s="19" t="s">
        <v>121</v>
      </c>
      <c r="E375" s="14">
        <f t="shared" si="1"/>
        <v>11</v>
      </c>
      <c r="F375" s="19">
        <f t="shared" si="2"/>
        <v>11</v>
      </c>
      <c r="G375" s="20">
        <f t="shared" si="3"/>
        <v>1</v>
      </c>
      <c r="H375" s="19">
        <v>34.0</v>
      </c>
      <c r="I375" s="19">
        <v>36.0</v>
      </c>
      <c r="J375" s="19">
        <v>2.0</v>
      </c>
      <c r="K375" s="19">
        <v>2.6</v>
      </c>
      <c r="L375" s="19">
        <v>24.0</v>
      </c>
      <c r="M375" s="19">
        <v>25.0</v>
      </c>
      <c r="N375" s="19">
        <v>4.2</v>
      </c>
      <c r="O375" s="19" t="s">
        <v>200</v>
      </c>
      <c r="P375" s="19" t="s">
        <v>189</v>
      </c>
      <c r="Q375" s="20">
        <f t="shared" si="4"/>
        <v>1</v>
      </c>
      <c r="R375" s="20">
        <f t="shared" si="5"/>
        <v>0.9444444444</v>
      </c>
      <c r="S375" s="20">
        <f t="shared" si="6"/>
        <v>0.05555555556</v>
      </c>
      <c r="T375" s="20">
        <f t="shared" si="7"/>
        <v>0.96</v>
      </c>
      <c r="U375" s="20">
        <f>IF(B375="","",MIN(Q375/Targets!$B$2,1)*Targets!$D$2+MIN(G375/100/Targets!$B$3,1)*Targets!$D$3+MIN(T375/Targets!$B$4,1)*Targets!$D$4+MIN(R375/Targets!$B$5,1)*Targets!$D$5+MIN(N375/Targets!$B$6,1)*Targets!$D$6+MIN(Targets!$B$7/MAX(S375,0.0001),1)*Targets!$D$7)</f>
        <v>0.6524561404</v>
      </c>
    </row>
    <row r="376">
      <c r="A376" s="18">
        <v>46240.0</v>
      </c>
      <c r="B376" s="19" t="s">
        <v>118</v>
      </c>
      <c r="C376" s="19" t="s">
        <v>169</v>
      </c>
      <c r="D376" s="19" t="s">
        <v>121</v>
      </c>
      <c r="E376" s="14">
        <f t="shared" si="1"/>
        <v>16</v>
      </c>
      <c r="F376" s="19">
        <f t="shared" si="2"/>
        <v>13</v>
      </c>
      <c r="G376" s="20">
        <f t="shared" si="3"/>
        <v>0.8125</v>
      </c>
      <c r="H376" s="19">
        <v>46.0</v>
      </c>
      <c r="I376" s="19">
        <v>49.0</v>
      </c>
      <c r="J376" s="19">
        <v>4.0</v>
      </c>
      <c r="K376" s="19">
        <v>2.6</v>
      </c>
      <c r="L376" s="19">
        <v>50.0</v>
      </c>
      <c r="M376" s="19">
        <v>56.0</v>
      </c>
      <c r="N376" s="19">
        <v>7.5</v>
      </c>
      <c r="O376" s="19" t="s">
        <v>143</v>
      </c>
      <c r="P376" s="19" t="s">
        <v>168</v>
      </c>
      <c r="Q376" s="20">
        <f t="shared" si="4"/>
        <v>0.8125</v>
      </c>
      <c r="R376" s="20">
        <f t="shared" si="5"/>
        <v>0.9387755102</v>
      </c>
      <c r="S376" s="20">
        <f t="shared" si="6"/>
        <v>0.08163265306</v>
      </c>
      <c r="T376" s="20">
        <f t="shared" si="7"/>
        <v>0.8928571429</v>
      </c>
      <c r="U376" s="20">
        <f>IF(B376="","",MIN(Q376/Targets!$B$2,1)*Targets!$D$2+MIN(G376/100/Targets!$B$3,1)*Targets!$D$3+MIN(T376/Targets!$B$4,1)*Targets!$D$4+MIN(R376/Targets!$B$5,1)*Targets!$D$5+MIN(N376/Targets!$B$6,1)*Targets!$D$6+MIN(Targets!$B$7/MAX(S376,0.0001),1)*Targets!$D$7)</f>
        <v>0.6415511248</v>
      </c>
    </row>
    <row r="377">
      <c r="A377" s="18">
        <v>46240.0</v>
      </c>
      <c r="B377" s="19" t="s">
        <v>123</v>
      </c>
      <c r="C377" s="19" t="s">
        <v>171</v>
      </c>
      <c r="D377" s="19" t="s">
        <v>121</v>
      </c>
      <c r="E377" s="14">
        <f t="shared" si="1"/>
        <v>7</v>
      </c>
      <c r="F377" s="19">
        <f t="shared" si="2"/>
        <v>7</v>
      </c>
      <c r="G377" s="20">
        <f t="shared" si="3"/>
        <v>1</v>
      </c>
      <c r="H377" s="19">
        <v>39.0</v>
      </c>
      <c r="I377" s="19">
        <v>42.0</v>
      </c>
      <c r="J377" s="19">
        <v>1.0</v>
      </c>
      <c r="K377" s="19">
        <v>3.8</v>
      </c>
      <c r="L377" s="19">
        <v>41.0</v>
      </c>
      <c r="M377" s="19">
        <v>49.0</v>
      </c>
      <c r="N377" s="19">
        <v>6.7</v>
      </c>
      <c r="O377" s="19" t="s">
        <v>143</v>
      </c>
      <c r="P377" s="19" t="s">
        <v>189</v>
      </c>
      <c r="Q377" s="20">
        <f t="shared" si="4"/>
        <v>1</v>
      </c>
      <c r="R377" s="20">
        <f t="shared" si="5"/>
        <v>0.9285714286</v>
      </c>
      <c r="S377" s="20">
        <f t="shared" si="6"/>
        <v>0.02380952381</v>
      </c>
      <c r="T377" s="20">
        <f t="shared" si="7"/>
        <v>0.8367346939</v>
      </c>
      <c r="U377" s="20">
        <f>IF(B377="","",MIN(Q377/Targets!$B$2,1)*Targets!$D$2+MIN(G377/100/Targets!$B$3,1)*Targets!$D$3+MIN(T377/Targets!$B$4,1)*Targets!$D$4+MIN(R377/Targets!$B$5,1)*Targets!$D$5+MIN(N377/Targets!$B$6,1)*Targets!$D$6+MIN(Targets!$B$7/MAX(S377,0.0001),1)*Targets!$D$7)</f>
        <v>0.6851199427</v>
      </c>
    </row>
    <row r="378">
      <c r="A378" s="18">
        <v>46240.0</v>
      </c>
      <c r="B378" s="19" t="s">
        <v>126</v>
      </c>
      <c r="C378" s="19" t="s">
        <v>179</v>
      </c>
      <c r="D378" s="19" t="s">
        <v>121</v>
      </c>
      <c r="E378" s="14">
        <f t="shared" si="1"/>
        <v>8</v>
      </c>
      <c r="F378" s="19">
        <f t="shared" si="2"/>
        <v>6</v>
      </c>
      <c r="G378" s="20">
        <f t="shared" si="3"/>
        <v>0.75</v>
      </c>
      <c r="H378" s="19">
        <v>26.0</v>
      </c>
      <c r="I378" s="19">
        <v>29.0</v>
      </c>
      <c r="J378" s="19">
        <v>2.0</v>
      </c>
      <c r="K378" s="19">
        <v>3.0</v>
      </c>
      <c r="L378" s="19">
        <v>39.0</v>
      </c>
      <c r="M378" s="19">
        <v>42.0</v>
      </c>
      <c r="N378" s="19">
        <v>7.5</v>
      </c>
      <c r="O378" s="19" t="s">
        <v>143</v>
      </c>
      <c r="P378" s="19" t="s">
        <v>189</v>
      </c>
      <c r="Q378" s="20">
        <f t="shared" si="4"/>
        <v>0.75</v>
      </c>
      <c r="R378" s="20">
        <f t="shared" si="5"/>
        <v>0.8965517241</v>
      </c>
      <c r="S378" s="20">
        <f t="shared" si="6"/>
        <v>0.06896551724</v>
      </c>
      <c r="T378" s="20">
        <f t="shared" si="7"/>
        <v>0.9285714286</v>
      </c>
      <c r="U378" s="20">
        <f>IF(B378="","",MIN(Q378/Targets!$B$2,1)*Targets!$D$2+MIN(G378/100/Targets!$B$3,1)*Targets!$D$3+MIN(T378/Targets!$B$4,1)*Targets!$D$4+MIN(R378/Targets!$B$5,1)*Targets!$D$5+MIN(N378/Targets!$B$6,1)*Targets!$D$6+MIN(Targets!$B$7/MAX(S378,0.0001),1)*Targets!$D$7)</f>
        <v>0.6332274652</v>
      </c>
    </row>
    <row r="379">
      <c r="A379" s="18">
        <v>46240.0</v>
      </c>
      <c r="B379" s="19" t="s">
        <v>129</v>
      </c>
      <c r="C379" s="19" t="s">
        <v>188</v>
      </c>
      <c r="D379" s="19" t="s">
        <v>121</v>
      </c>
      <c r="E379" s="14">
        <f t="shared" si="1"/>
        <v>10</v>
      </c>
      <c r="F379" s="19">
        <f t="shared" si="2"/>
        <v>12</v>
      </c>
      <c r="G379" s="20">
        <f t="shared" si="3"/>
        <v>1.2</v>
      </c>
      <c r="H379" s="19">
        <v>27.0</v>
      </c>
      <c r="I379" s="19">
        <v>29.0</v>
      </c>
      <c r="J379" s="19">
        <v>2.0</v>
      </c>
      <c r="K379" s="19">
        <v>4.1</v>
      </c>
      <c r="L379" s="19">
        <v>38.0</v>
      </c>
      <c r="M379" s="19">
        <v>42.0</v>
      </c>
      <c r="N379" s="19">
        <v>7.4</v>
      </c>
      <c r="O379" s="19" t="s">
        <v>143</v>
      </c>
      <c r="P379" s="19" t="s">
        <v>168</v>
      </c>
      <c r="Q379" s="20">
        <f t="shared" si="4"/>
        <v>1.2</v>
      </c>
      <c r="R379" s="20">
        <f t="shared" si="5"/>
        <v>0.9310344828</v>
      </c>
      <c r="S379" s="20">
        <f t="shared" si="6"/>
        <v>0.06896551724</v>
      </c>
      <c r="T379" s="20">
        <f t="shared" si="7"/>
        <v>0.9047619048</v>
      </c>
      <c r="U379" s="20">
        <f>IF(B379="","",MIN(Q379/Targets!$B$2,1)*Targets!$D$2+MIN(G379/100/Targets!$B$3,1)*Targets!$D$3+MIN(T379/Targets!$B$4,1)*Targets!$D$4+MIN(R379/Targets!$B$5,1)*Targets!$D$5+MIN(N379/Targets!$B$6,1)*Targets!$D$6+MIN(Targets!$B$7/MAX(S379,0.0001),1)*Targets!$D$7)</f>
        <v>0.6735054446</v>
      </c>
    </row>
    <row r="380">
      <c r="A380" s="18">
        <v>46240.0</v>
      </c>
      <c r="B380" s="19" t="s">
        <v>132</v>
      </c>
      <c r="C380" s="19" t="s">
        <v>190</v>
      </c>
      <c r="D380" s="19" t="s">
        <v>121</v>
      </c>
      <c r="E380" s="14">
        <f t="shared" si="1"/>
        <v>16</v>
      </c>
      <c r="F380" s="19">
        <f t="shared" si="2"/>
        <v>9</v>
      </c>
      <c r="G380" s="20">
        <f t="shared" si="3"/>
        <v>0.5625</v>
      </c>
      <c r="H380" s="19">
        <v>22.0</v>
      </c>
      <c r="I380" s="19">
        <v>25.0</v>
      </c>
      <c r="J380" s="19">
        <v>1.0</v>
      </c>
      <c r="K380" s="19">
        <v>4.2</v>
      </c>
      <c r="L380" s="19">
        <v>32.0</v>
      </c>
      <c r="M380" s="19">
        <v>43.0</v>
      </c>
      <c r="N380" s="19">
        <v>5.6</v>
      </c>
      <c r="O380" s="19" t="s">
        <v>143</v>
      </c>
      <c r="P380" s="19" t="s">
        <v>178</v>
      </c>
      <c r="Q380" s="20">
        <f t="shared" si="4"/>
        <v>0.5625</v>
      </c>
      <c r="R380" s="20">
        <f t="shared" si="5"/>
        <v>0.88</v>
      </c>
      <c r="S380" s="20">
        <f t="shared" si="6"/>
        <v>0.04</v>
      </c>
      <c r="T380" s="20">
        <f t="shared" si="7"/>
        <v>0.7441860465</v>
      </c>
      <c r="U380" s="20">
        <f>IF(B380="","",MIN(Q380/Targets!$B$2,1)*Targets!$D$2+MIN(G380/100/Targets!$B$3,1)*Targets!$D$3+MIN(T380/Targets!$B$4,1)*Targets!$D$4+MIN(R380/Targets!$B$5,1)*Targets!$D$5+MIN(N380/Targets!$B$6,1)*Targets!$D$6+MIN(Targets!$B$7/MAX(S380,0.0001),1)*Targets!$D$7)</f>
        <v>0.5698533762</v>
      </c>
    </row>
    <row r="381">
      <c r="A381" s="18">
        <v>46240.0</v>
      </c>
      <c r="B381" s="19" t="s">
        <v>135</v>
      </c>
      <c r="C381" s="19" t="s">
        <v>169</v>
      </c>
      <c r="D381" s="19" t="s">
        <v>121</v>
      </c>
      <c r="E381" s="14">
        <f t="shared" si="1"/>
        <v>7</v>
      </c>
      <c r="F381" s="19">
        <f t="shared" si="2"/>
        <v>12</v>
      </c>
      <c r="G381" s="20">
        <f t="shared" si="3"/>
        <v>1.714285714</v>
      </c>
      <c r="H381" s="19">
        <v>21.0</v>
      </c>
      <c r="I381" s="19">
        <v>26.0</v>
      </c>
      <c r="J381" s="19">
        <v>0.0</v>
      </c>
      <c r="K381" s="19">
        <v>5.5</v>
      </c>
      <c r="L381" s="19">
        <v>34.0</v>
      </c>
      <c r="M381" s="19">
        <v>53.0</v>
      </c>
      <c r="N381" s="19">
        <v>5.9</v>
      </c>
      <c r="O381" s="19" t="s">
        <v>143</v>
      </c>
      <c r="P381" s="19" t="s">
        <v>189</v>
      </c>
      <c r="Q381" s="20">
        <f t="shared" si="4"/>
        <v>1.714285714</v>
      </c>
      <c r="R381" s="20">
        <f t="shared" si="5"/>
        <v>0.8076923077</v>
      </c>
      <c r="S381" s="20">
        <f t="shared" si="6"/>
        <v>0</v>
      </c>
      <c r="T381" s="20">
        <f t="shared" si="7"/>
        <v>0.641509434</v>
      </c>
      <c r="U381" s="20">
        <f>IF(B381="","",MIN(Q381/Targets!$B$2,1)*Targets!$D$2+MIN(G381/100/Targets!$B$3,1)*Targets!$D$3+MIN(T381/Targets!$B$4,1)*Targets!$D$4+MIN(R381/Targets!$B$5,1)*Targets!$D$5+MIN(N381/Targets!$B$6,1)*Targets!$D$6+MIN(Targets!$B$7/MAX(S381,0.0001),1)*Targets!$D$7)</f>
        <v>0.6244486034</v>
      </c>
    </row>
    <row r="382">
      <c r="A382" s="18">
        <v>46241.0</v>
      </c>
      <c r="B382" s="19" t="s">
        <v>10</v>
      </c>
      <c r="C382" s="19" t="s">
        <v>14</v>
      </c>
      <c r="D382" s="19" t="s">
        <v>121</v>
      </c>
      <c r="E382" s="14">
        <f t="shared" si="1"/>
        <v>16</v>
      </c>
      <c r="F382" s="19">
        <f t="shared" si="2"/>
        <v>15</v>
      </c>
      <c r="G382" s="20">
        <f t="shared" si="3"/>
        <v>0.9375</v>
      </c>
      <c r="H382" s="19">
        <v>23.0</v>
      </c>
      <c r="I382" s="19">
        <v>26.0</v>
      </c>
      <c r="J382" s="19">
        <v>1.0</v>
      </c>
      <c r="K382" s="19">
        <v>5.8</v>
      </c>
      <c r="L382" s="19">
        <v>31.0</v>
      </c>
      <c r="M382" s="19">
        <v>36.0</v>
      </c>
      <c r="N382" s="19">
        <v>5.6</v>
      </c>
      <c r="O382" s="19" t="s">
        <v>143</v>
      </c>
      <c r="P382" s="19" t="s">
        <v>186</v>
      </c>
      <c r="Q382" s="20">
        <f t="shared" si="4"/>
        <v>0.9375</v>
      </c>
      <c r="R382" s="20">
        <f t="shared" si="5"/>
        <v>0.8846153846</v>
      </c>
      <c r="S382" s="20">
        <f t="shared" si="6"/>
        <v>0.03846153846</v>
      </c>
      <c r="T382" s="20">
        <f t="shared" si="7"/>
        <v>0.8611111111</v>
      </c>
      <c r="U382" s="20">
        <f>IF(B382="","",MIN(Q382/Targets!$B$2,1)*Targets!$D$2+MIN(G382/100/Targets!$B$3,1)*Targets!$D$3+MIN(T382/Targets!$B$4,1)*Targets!$D$4+MIN(R382/Targets!$B$5,1)*Targets!$D$5+MIN(N382/Targets!$B$6,1)*Targets!$D$6+MIN(Targets!$B$7/MAX(S382,0.0001),1)*Targets!$D$7)</f>
        <v>0.6663196319</v>
      </c>
    </row>
    <row r="383">
      <c r="A383" s="18">
        <v>46241.0</v>
      </c>
      <c r="B383" s="19" t="s">
        <v>25</v>
      </c>
      <c r="C383" s="19" t="s">
        <v>167</v>
      </c>
      <c r="D383" s="19" t="s">
        <v>121</v>
      </c>
      <c r="E383" s="14">
        <f t="shared" si="1"/>
        <v>6</v>
      </c>
      <c r="F383" s="19">
        <f t="shared" si="2"/>
        <v>8</v>
      </c>
      <c r="G383" s="20">
        <f t="shared" si="3"/>
        <v>1.333333333</v>
      </c>
      <c r="H383" s="19">
        <v>53.0</v>
      </c>
      <c r="I383" s="19">
        <v>55.0</v>
      </c>
      <c r="J383" s="19">
        <v>3.0</v>
      </c>
      <c r="K383" s="19">
        <v>2.4</v>
      </c>
      <c r="L383" s="19">
        <v>53.0</v>
      </c>
      <c r="M383" s="19">
        <v>62.0</v>
      </c>
      <c r="N383" s="19">
        <v>7.8</v>
      </c>
      <c r="O383" s="19" t="s">
        <v>143</v>
      </c>
      <c r="P383" s="19" t="s">
        <v>187</v>
      </c>
      <c r="Q383" s="20">
        <f t="shared" si="4"/>
        <v>1.333333333</v>
      </c>
      <c r="R383" s="20">
        <f t="shared" si="5"/>
        <v>0.9636363636</v>
      </c>
      <c r="S383" s="20">
        <f t="shared" si="6"/>
        <v>0.05454545455</v>
      </c>
      <c r="T383" s="20">
        <f t="shared" si="7"/>
        <v>0.8548387097</v>
      </c>
      <c r="U383" s="20">
        <f>IF(B383="","",MIN(Q383/Targets!$B$2,1)*Targets!$D$2+MIN(G383/100/Targets!$B$3,1)*Targets!$D$3+MIN(T383/Targets!$B$4,1)*Targets!$D$4+MIN(R383/Targets!$B$5,1)*Targets!$D$5+MIN(N383/Targets!$B$6,1)*Targets!$D$6+MIN(Targets!$B$7/MAX(S383,0.0001),1)*Targets!$D$7)</f>
        <v>0.6885842294</v>
      </c>
    </row>
    <row r="384">
      <c r="A384" s="18">
        <v>46241.0</v>
      </c>
      <c r="B384" s="19" t="s">
        <v>37</v>
      </c>
      <c r="C384" s="19" t="s">
        <v>169</v>
      </c>
      <c r="D384" s="19" t="s">
        <v>121</v>
      </c>
      <c r="E384" s="14">
        <f t="shared" si="1"/>
        <v>15</v>
      </c>
      <c r="F384" s="19">
        <f t="shared" si="2"/>
        <v>12</v>
      </c>
      <c r="G384" s="20">
        <f t="shared" si="3"/>
        <v>0.8</v>
      </c>
      <c r="H384" s="19">
        <v>41.0</v>
      </c>
      <c r="I384" s="19">
        <v>46.0</v>
      </c>
      <c r="J384" s="19">
        <v>2.0</v>
      </c>
      <c r="K384" s="19">
        <v>3.3</v>
      </c>
      <c r="L384" s="19">
        <v>44.0</v>
      </c>
      <c r="M384" s="19">
        <v>47.0</v>
      </c>
      <c r="N384" s="19">
        <v>6.4</v>
      </c>
      <c r="O384" s="19" t="s">
        <v>143</v>
      </c>
      <c r="P384" s="19" t="s">
        <v>144</v>
      </c>
      <c r="Q384" s="20">
        <f t="shared" si="4"/>
        <v>0.8</v>
      </c>
      <c r="R384" s="20">
        <f t="shared" si="5"/>
        <v>0.8913043478</v>
      </c>
      <c r="S384" s="20">
        <f t="shared" si="6"/>
        <v>0.04347826087</v>
      </c>
      <c r="T384" s="20">
        <f t="shared" si="7"/>
        <v>0.9361702128</v>
      </c>
      <c r="U384" s="20">
        <f>IF(B384="","",MIN(Q384/Targets!$B$2,1)*Targets!$D$2+MIN(G384/100/Targets!$B$3,1)*Targets!$D$3+MIN(T384/Targets!$B$4,1)*Targets!$D$4+MIN(R384/Targets!$B$5,1)*Targets!$D$5+MIN(N384/Targets!$B$6,1)*Targets!$D$6+MIN(Targets!$B$7/MAX(S384,0.0001),1)*Targets!$D$7)</f>
        <v>0.6626052813</v>
      </c>
    </row>
    <row r="385">
      <c r="A385" s="18">
        <v>46241.0</v>
      </c>
      <c r="B385" s="19" t="s">
        <v>42</v>
      </c>
      <c r="C385" s="19" t="s">
        <v>171</v>
      </c>
      <c r="D385" s="19" t="s">
        <v>121</v>
      </c>
      <c r="E385" s="14">
        <f t="shared" si="1"/>
        <v>14</v>
      </c>
      <c r="F385" s="19">
        <f t="shared" si="2"/>
        <v>14</v>
      </c>
      <c r="G385" s="20">
        <f t="shared" si="3"/>
        <v>1</v>
      </c>
      <c r="H385" s="19">
        <v>39.0</v>
      </c>
      <c r="I385" s="19">
        <v>40.0</v>
      </c>
      <c r="J385" s="19">
        <v>2.0</v>
      </c>
      <c r="K385" s="19">
        <v>1.6</v>
      </c>
      <c r="L385" s="19">
        <v>41.0</v>
      </c>
      <c r="M385" s="19">
        <v>49.0</v>
      </c>
      <c r="N385" s="19">
        <v>7.8</v>
      </c>
      <c r="O385" s="19" t="s">
        <v>143</v>
      </c>
      <c r="P385" s="19" t="s">
        <v>189</v>
      </c>
      <c r="Q385" s="20">
        <f t="shared" si="4"/>
        <v>1</v>
      </c>
      <c r="R385" s="20">
        <f t="shared" si="5"/>
        <v>0.975</v>
      </c>
      <c r="S385" s="20">
        <f t="shared" si="6"/>
        <v>0.05</v>
      </c>
      <c r="T385" s="20">
        <f t="shared" si="7"/>
        <v>0.8367346939</v>
      </c>
      <c r="U385" s="20">
        <f>IF(B385="","",MIN(Q385/Targets!$B$2,1)*Targets!$D$2+MIN(G385/100/Targets!$B$3,1)*Targets!$D$3+MIN(T385/Targets!$B$4,1)*Targets!$D$4+MIN(R385/Targets!$B$5,1)*Targets!$D$5+MIN(N385/Targets!$B$6,1)*Targets!$D$6+MIN(Targets!$B$7/MAX(S385,0.0001),1)*Targets!$D$7)</f>
        <v>0.6927891156</v>
      </c>
    </row>
    <row r="386">
      <c r="A386" s="18">
        <v>46241.0</v>
      </c>
      <c r="B386" s="19" t="s">
        <v>46</v>
      </c>
      <c r="C386" s="19" t="s">
        <v>179</v>
      </c>
      <c r="D386" s="19" t="s">
        <v>121</v>
      </c>
      <c r="E386" s="14">
        <f t="shared" si="1"/>
        <v>15</v>
      </c>
      <c r="F386" s="19">
        <f t="shared" si="2"/>
        <v>11</v>
      </c>
      <c r="G386" s="20">
        <f t="shared" si="3"/>
        <v>0.7333333333</v>
      </c>
      <c r="H386" s="19">
        <v>39.0</v>
      </c>
      <c r="I386" s="19">
        <v>40.0</v>
      </c>
      <c r="J386" s="19">
        <v>3.0</v>
      </c>
      <c r="K386" s="19">
        <v>2.2</v>
      </c>
      <c r="L386" s="19">
        <v>47.0</v>
      </c>
      <c r="M386" s="19">
        <v>54.0</v>
      </c>
      <c r="N386" s="19">
        <v>8.1</v>
      </c>
      <c r="O386" s="19" t="s">
        <v>143</v>
      </c>
      <c r="P386" s="19" t="s">
        <v>144</v>
      </c>
      <c r="Q386" s="20">
        <f t="shared" si="4"/>
        <v>0.7333333333</v>
      </c>
      <c r="R386" s="20">
        <f t="shared" si="5"/>
        <v>0.975</v>
      </c>
      <c r="S386" s="20">
        <f t="shared" si="6"/>
        <v>0.075</v>
      </c>
      <c r="T386" s="20">
        <f t="shared" si="7"/>
        <v>0.8703703704</v>
      </c>
      <c r="U386" s="20">
        <f>IF(B386="","",MIN(Q386/Targets!$B$2,1)*Targets!$D$2+MIN(G386/100/Targets!$B$3,1)*Targets!$D$3+MIN(T386/Targets!$B$4,1)*Targets!$D$4+MIN(R386/Targets!$B$5,1)*Targets!$D$5+MIN(N386/Targets!$B$6,1)*Targets!$D$6+MIN(Targets!$B$7/MAX(S386,0.0001),1)*Targets!$D$7)</f>
        <v>0.6271358025</v>
      </c>
    </row>
    <row r="387">
      <c r="A387" s="18">
        <v>46241.0</v>
      </c>
      <c r="B387" s="19" t="s">
        <v>53</v>
      </c>
      <c r="C387" s="19" t="s">
        <v>14</v>
      </c>
      <c r="D387" s="19" t="s">
        <v>121</v>
      </c>
      <c r="E387" s="14">
        <f t="shared" si="1"/>
        <v>6</v>
      </c>
      <c r="F387" s="19">
        <f t="shared" si="2"/>
        <v>9</v>
      </c>
      <c r="G387" s="20">
        <f t="shared" si="3"/>
        <v>1.5</v>
      </c>
      <c r="H387" s="19">
        <v>24.0</v>
      </c>
      <c r="I387" s="19">
        <v>26.0</v>
      </c>
      <c r="J387" s="19">
        <v>2.0</v>
      </c>
      <c r="K387" s="19">
        <v>3.8</v>
      </c>
      <c r="L387" s="19">
        <v>36.0</v>
      </c>
      <c r="M387" s="19">
        <v>39.0</v>
      </c>
      <c r="N387" s="19">
        <v>6.3</v>
      </c>
      <c r="O387" s="19" t="s">
        <v>143</v>
      </c>
      <c r="P387" s="19" t="s">
        <v>189</v>
      </c>
      <c r="Q387" s="20">
        <f t="shared" si="4"/>
        <v>1.5</v>
      </c>
      <c r="R387" s="20">
        <f t="shared" si="5"/>
        <v>0.9230769231</v>
      </c>
      <c r="S387" s="20">
        <f t="shared" si="6"/>
        <v>0.07692307692</v>
      </c>
      <c r="T387" s="20">
        <f t="shared" si="7"/>
        <v>0.9230769231</v>
      </c>
      <c r="U387" s="20">
        <f>IF(B387="","",MIN(Q387/Targets!$B$2,1)*Targets!$D$2+MIN(G387/100/Targets!$B$3,1)*Targets!$D$3+MIN(T387/Targets!$B$4,1)*Targets!$D$4+MIN(R387/Targets!$B$5,1)*Targets!$D$5+MIN(N387/Targets!$B$6,1)*Targets!$D$6+MIN(Targets!$B$7/MAX(S387,0.0001),1)*Targets!$D$7)</f>
        <v>0.6557489879</v>
      </c>
    </row>
    <row r="388">
      <c r="A388" s="18">
        <v>46241.0</v>
      </c>
      <c r="B388" s="19" t="s">
        <v>65</v>
      </c>
      <c r="C388" s="19" t="s">
        <v>167</v>
      </c>
      <c r="D388" s="19" t="s">
        <v>121</v>
      </c>
      <c r="E388" s="14">
        <f t="shared" si="1"/>
        <v>9</v>
      </c>
      <c r="F388" s="19">
        <f t="shared" si="2"/>
        <v>10</v>
      </c>
      <c r="G388" s="20">
        <f t="shared" si="3"/>
        <v>1.111111111</v>
      </c>
      <c r="H388" s="19">
        <v>26.0</v>
      </c>
      <c r="I388" s="19">
        <v>29.0</v>
      </c>
      <c r="J388" s="19">
        <v>1.0</v>
      </c>
      <c r="K388" s="19">
        <v>4.2</v>
      </c>
      <c r="L388" s="19">
        <v>39.0</v>
      </c>
      <c r="M388" s="19">
        <v>47.0</v>
      </c>
      <c r="N388" s="19">
        <v>6.9</v>
      </c>
      <c r="O388" s="19" t="s">
        <v>143</v>
      </c>
      <c r="P388" s="19" t="s">
        <v>178</v>
      </c>
      <c r="Q388" s="20">
        <f t="shared" si="4"/>
        <v>1.111111111</v>
      </c>
      <c r="R388" s="20">
        <f t="shared" si="5"/>
        <v>0.8965517241</v>
      </c>
      <c r="S388" s="20">
        <f t="shared" si="6"/>
        <v>0.03448275862</v>
      </c>
      <c r="T388" s="20">
        <f t="shared" si="7"/>
        <v>0.829787234</v>
      </c>
      <c r="U388" s="20">
        <f>IF(B388="","",MIN(Q388/Targets!$B$2,1)*Targets!$D$2+MIN(G388/100/Targets!$B$3,1)*Targets!$D$3+MIN(T388/Targets!$B$4,1)*Targets!$D$4+MIN(R388/Targets!$B$5,1)*Targets!$D$5+MIN(N388/Targets!$B$6,1)*Targets!$D$6+MIN(Targets!$B$7/MAX(S388,0.0001),1)*Targets!$D$7)</f>
        <v>0.6821338032</v>
      </c>
    </row>
    <row r="389">
      <c r="A389" s="18">
        <v>46241.0</v>
      </c>
      <c r="B389" s="19" t="s">
        <v>73</v>
      </c>
      <c r="C389" s="19" t="s">
        <v>169</v>
      </c>
      <c r="D389" s="19" t="s">
        <v>121</v>
      </c>
      <c r="E389" s="14">
        <f t="shared" si="1"/>
        <v>16</v>
      </c>
      <c r="F389" s="19">
        <f t="shared" si="2"/>
        <v>12</v>
      </c>
      <c r="G389" s="20">
        <f t="shared" si="3"/>
        <v>0.75</v>
      </c>
      <c r="H389" s="19">
        <v>29.0</v>
      </c>
      <c r="I389" s="19">
        <v>34.0</v>
      </c>
      <c r="J389" s="19">
        <v>1.0</v>
      </c>
      <c r="K389" s="19">
        <v>3.9</v>
      </c>
      <c r="L389" s="19">
        <v>35.0</v>
      </c>
      <c r="M389" s="19">
        <v>45.0</v>
      </c>
      <c r="N389" s="19">
        <v>7.0</v>
      </c>
      <c r="O389" s="19" t="s">
        <v>143</v>
      </c>
      <c r="P389" s="19" t="s">
        <v>186</v>
      </c>
      <c r="Q389" s="20">
        <f t="shared" si="4"/>
        <v>0.75</v>
      </c>
      <c r="R389" s="20">
        <f t="shared" si="5"/>
        <v>0.8529411765</v>
      </c>
      <c r="S389" s="20">
        <f t="shared" si="6"/>
        <v>0.02941176471</v>
      </c>
      <c r="T389" s="20">
        <f t="shared" si="7"/>
        <v>0.7777777778</v>
      </c>
      <c r="U389" s="20">
        <f>IF(B389="","",MIN(Q389/Targets!$B$2,1)*Targets!$D$2+MIN(G389/100/Targets!$B$3,1)*Targets!$D$3+MIN(T389/Targets!$B$4,1)*Targets!$D$4+MIN(R389/Targets!$B$5,1)*Targets!$D$5+MIN(N389/Targets!$B$6,1)*Targets!$D$6+MIN(Targets!$B$7/MAX(S389,0.0001),1)*Targets!$D$7)</f>
        <v>0.6334712189</v>
      </c>
    </row>
    <row r="390">
      <c r="A390" s="18">
        <v>46241.0</v>
      </c>
      <c r="B390" s="19" t="s">
        <v>78</v>
      </c>
      <c r="C390" s="19" t="s">
        <v>171</v>
      </c>
      <c r="D390" s="19" t="s">
        <v>121</v>
      </c>
      <c r="E390" s="14">
        <f t="shared" si="1"/>
        <v>6</v>
      </c>
      <c r="F390" s="19">
        <f t="shared" si="2"/>
        <v>6</v>
      </c>
      <c r="G390" s="20">
        <f t="shared" si="3"/>
        <v>1</v>
      </c>
      <c r="H390" s="19">
        <v>38.0</v>
      </c>
      <c r="I390" s="19">
        <v>39.0</v>
      </c>
      <c r="J390" s="19">
        <v>1.0</v>
      </c>
      <c r="K390" s="19">
        <v>2.4</v>
      </c>
      <c r="L390" s="19">
        <v>21.0</v>
      </c>
      <c r="M390" s="19">
        <v>24.0</v>
      </c>
      <c r="N390" s="19">
        <v>4.5</v>
      </c>
      <c r="O390" s="19" t="s">
        <v>200</v>
      </c>
      <c r="P390" s="19" t="s">
        <v>191</v>
      </c>
      <c r="Q390" s="20">
        <f t="shared" si="4"/>
        <v>1</v>
      </c>
      <c r="R390" s="20">
        <f t="shared" si="5"/>
        <v>0.9743589744</v>
      </c>
      <c r="S390" s="20">
        <f t="shared" si="6"/>
        <v>0.02564102564</v>
      </c>
      <c r="T390" s="20">
        <f t="shared" si="7"/>
        <v>0.875</v>
      </c>
      <c r="U390" s="20">
        <f>IF(B390="","",MIN(Q390/Targets!$B$2,1)*Targets!$D$2+MIN(G390/100/Targets!$B$3,1)*Targets!$D$3+MIN(T390/Targets!$B$4,1)*Targets!$D$4+MIN(R390/Targets!$B$5,1)*Targets!$D$5+MIN(N390/Targets!$B$6,1)*Targets!$D$6+MIN(Targets!$B$7/MAX(S390,0.0001),1)*Targets!$D$7)</f>
        <v>0.663452381</v>
      </c>
    </row>
    <row r="391">
      <c r="A391" s="18">
        <v>46241.0</v>
      </c>
      <c r="B391" s="19" t="s">
        <v>84</v>
      </c>
      <c r="C391" s="19" t="s">
        <v>179</v>
      </c>
      <c r="D391" s="19" t="s">
        <v>121</v>
      </c>
      <c r="E391" s="14">
        <f t="shared" si="1"/>
        <v>16</v>
      </c>
      <c r="F391" s="19">
        <f t="shared" si="2"/>
        <v>15</v>
      </c>
      <c r="G391" s="20">
        <f t="shared" si="3"/>
        <v>0.9375</v>
      </c>
      <c r="H391" s="19">
        <v>50.0</v>
      </c>
      <c r="I391" s="19">
        <v>52.0</v>
      </c>
      <c r="J391" s="19">
        <v>3.0</v>
      </c>
      <c r="K391" s="19">
        <v>2.4</v>
      </c>
      <c r="L391" s="19">
        <v>65.0</v>
      </c>
      <c r="M391" s="19">
        <v>66.0</v>
      </c>
      <c r="N391" s="19">
        <v>8.1</v>
      </c>
      <c r="O391" s="19" t="s">
        <v>143</v>
      </c>
      <c r="P391" s="19" t="s">
        <v>189</v>
      </c>
      <c r="Q391" s="20">
        <f t="shared" si="4"/>
        <v>0.9375</v>
      </c>
      <c r="R391" s="20">
        <f t="shared" si="5"/>
        <v>0.9615384615</v>
      </c>
      <c r="S391" s="20">
        <f t="shared" si="6"/>
        <v>0.05769230769</v>
      </c>
      <c r="T391" s="20">
        <f t="shared" si="7"/>
        <v>0.9848484848</v>
      </c>
      <c r="U391" s="20">
        <f>IF(B391="","",MIN(Q391/Targets!$B$2,1)*Targets!$D$2+MIN(G391/100/Targets!$B$3,1)*Targets!$D$3+MIN(T391/Targets!$B$4,1)*Targets!$D$4+MIN(R391/Targets!$B$5,1)*Targets!$D$5+MIN(N391/Targets!$B$6,1)*Targets!$D$6+MIN(Targets!$B$7/MAX(S391,0.0001),1)*Targets!$D$7)</f>
        <v>0.6897916667</v>
      </c>
    </row>
    <row r="392">
      <c r="A392" s="18">
        <v>46241.0</v>
      </c>
      <c r="B392" s="19" t="s">
        <v>91</v>
      </c>
      <c r="C392" s="19" t="s">
        <v>188</v>
      </c>
      <c r="D392" s="19" t="s">
        <v>121</v>
      </c>
      <c r="E392" s="14">
        <f t="shared" si="1"/>
        <v>15</v>
      </c>
      <c r="F392" s="19">
        <f t="shared" si="2"/>
        <v>10</v>
      </c>
      <c r="G392" s="20">
        <f t="shared" si="3"/>
        <v>0.6666666667</v>
      </c>
      <c r="H392" s="19">
        <v>41.0</v>
      </c>
      <c r="I392" s="19">
        <v>43.0</v>
      </c>
      <c r="J392" s="19">
        <v>2.0</v>
      </c>
      <c r="K392" s="19">
        <v>3.1</v>
      </c>
      <c r="L392" s="19">
        <v>48.0</v>
      </c>
      <c r="M392" s="19">
        <v>55.0</v>
      </c>
      <c r="N392" s="19">
        <v>7.4</v>
      </c>
      <c r="O392" s="19" t="s">
        <v>143</v>
      </c>
      <c r="P392" s="19" t="s">
        <v>189</v>
      </c>
      <c r="Q392" s="20">
        <f t="shared" si="4"/>
        <v>0.6666666667</v>
      </c>
      <c r="R392" s="20">
        <f t="shared" si="5"/>
        <v>0.9534883721</v>
      </c>
      <c r="S392" s="20">
        <f t="shared" si="6"/>
        <v>0.04651162791</v>
      </c>
      <c r="T392" s="20">
        <f t="shared" si="7"/>
        <v>0.8727272727</v>
      </c>
      <c r="U392" s="20">
        <f>IF(B392="","",MIN(Q392/Targets!$B$2,1)*Targets!$D$2+MIN(G392/100/Targets!$B$3,1)*Targets!$D$3+MIN(T392/Targets!$B$4,1)*Targets!$D$4+MIN(R392/Targets!$B$5,1)*Targets!$D$5+MIN(N392/Targets!$B$6,1)*Targets!$D$6+MIN(Targets!$B$7/MAX(S392,0.0001),1)*Targets!$D$7)</f>
        <v>0.6458249158</v>
      </c>
    </row>
    <row r="393">
      <c r="A393" s="18">
        <v>46241.0</v>
      </c>
      <c r="B393" s="19" t="s">
        <v>100</v>
      </c>
      <c r="C393" s="19" t="s">
        <v>190</v>
      </c>
      <c r="D393" s="19" t="s">
        <v>121</v>
      </c>
      <c r="E393" s="14">
        <f t="shared" si="1"/>
        <v>16</v>
      </c>
      <c r="F393" s="19">
        <f t="shared" si="2"/>
        <v>10</v>
      </c>
      <c r="G393" s="20">
        <f t="shared" si="3"/>
        <v>0.625</v>
      </c>
      <c r="H393" s="19">
        <v>36.0</v>
      </c>
      <c r="I393" s="19">
        <v>41.0</v>
      </c>
      <c r="J393" s="19">
        <v>3.0</v>
      </c>
      <c r="K393" s="19">
        <v>4.0</v>
      </c>
      <c r="L393" s="19">
        <v>40.0</v>
      </c>
      <c r="M393" s="19">
        <v>47.0</v>
      </c>
      <c r="N393" s="19">
        <v>7.7</v>
      </c>
      <c r="O393" s="19" t="s">
        <v>143</v>
      </c>
      <c r="P393" s="19" t="s">
        <v>178</v>
      </c>
      <c r="Q393" s="20">
        <f t="shared" si="4"/>
        <v>0.625</v>
      </c>
      <c r="R393" s="20">
        <f t="shared" si="5"/>
        <v>0.8780487805</v>
      </c>
      <c r="S393" s="20">
        <f t="shared" si="6"/>
        <v>0.07317073171</v>
      </c>
      <c r="T393" s="20">
        <f t="shared" si="7"/>
        <v>0.8510638298</v>
      </c>
      <c r="U393" s="20">
        <f>IF(B393="","",MIN(Q393/Targets!$B$2,1)*Targets!$D$2+MIN(G393/100/Targets!$B$3,1)*Targets!$D$3+MIN(T393/Targets!$B$4,1)*Targets!$D$4+MIN(R393/Targets!$B$5,1)*Targets!$D$5+MIN(N393/Targets!$B$6,1)*Targets!$D$6+MIN(Targets!$B$7/MAX(S393,0.0001),1)*Targets!$D$7)</f>
        <v>0.5897888083</v>
      </c>
    </row>
    <row r="394">
      <c r="A394" s="18">
        <v>46241.0</v>
      </c>
      <c r="B394" s="19" t="s">
        <v>109</v>
      </c>
      <c r="C394" s="19" t="s">
        <v>14</v>
      </c>
      <c r="D394" s="19" t="s">
        <v>121</v>
      </c>
      <c r="E394" s="14">
        <f t="shared" si="1"/>
        <v>7</v>
      </c>
      <c r="F394" s="19">
        <f t="shared" si="2"/>
        <v>12</v>
      </c>
      <c r="G394" s="20">
        <f t="shared" si="3"/>
        <v>1.714285714</v>
      </c>
      <c r="H394" s="19">
        <v>39.0</v>
      </c>
      <c r="I394" s="19">
        <v>42.0</v>
      </c>
      <c r="J394" s="19">
        <v>2.0</v>
      </c>
      <c r="K394" s="19">
        <v>4.1</v>
      </c>
      <c r="L394" s="19">
        <v>46.0</v>
      </c>
      <c r="M394" s="19">
        <v>52.0</v>
      </c>
      <c r="N394" s="19">
        <v>6.9</v>
      </c>
      <c r="O394" s="19" t="s">
        <v>143</v>
      </c>
      <c r="P394" s="19" t="s">
        <v>191</v>
      </c>
      <c r="Q394" s="20">
        <f t="shared" si="4"/>
        <v>1.714285714</v>
      </c>
      <c r="R394" s="20">
        <f t="shared" si="5"/>
        <v>0.9285714286</v>
      </c>
      <c r="S394" s="20">
        <f t="shared" si="6"/>
        <v>0.04761904762</v>
      </c>
      <c r="T394" s="20">
        <f t="shared" si="7"/>
        <v>0.8846153846</v>
      </c>
      <c r="U394" s="20">
        <f>IF(B394="","",MIN(Q394/Targets!$B$2,1)*Targets!$D$2+MIN(G394/100/Targets!$B$3,1)*Targets!$D$3+MIN(T394/Targets!$B$4,1)*Targets!$D$4+MIN(R394/Targets!$B$5,1)*Targets!$D$5+MIN(N394/Targets!$B$6,1)*Targets!$D$6+MIN(Targets!$B$7/MAX(S394,0.0001),1)*Targets!$D$7)</f>
        <v>0.6983381531</v>
      </c>
    </row>
    <row r="395">
      <c r="A395" s="18">
        <v>46241.0</v>
      </c>
      <c r="B395" s="19" t="s">
        <v>115</v>
      </c>
      <c r="C395" s="19" t="s">
        <v>167</v>
      </c>
      <c r="D395" s="19" t="s">
        <v>121</v>
      </c>
      <c r="E395" s="14">
        <f t="shared" si="1"/>
        <v>8</v>
      </c>
      <c r="F395" s="19">
        <f t="shared" si="2"/>
        <v>10</v>
      </c>
      <c r="G395" s="20">
        <f t="shared" si="3"/>
        <v>1.25</v>
      </c>
      <c r="H395" s="19">
        <v>52.0</v>
      </c>
      <c r="I395" s="19">
        <v>55.0</v>
      </c>
      <c r="J395" s="19">
        <v>1.0</v>
      </c>
      <c r="K395" s="19">
        <v>1.7</v>
      </c>
      <c r="L395" s="19">
        <v>47.0</v>
      </c>
      <c r="M395" s="19">
        <v>55.0</v>
      </c>
      <c r="N395" s="19">
        <v>7.7</v>
      </c>
      <c r="O395" s="19" t="s">
        <v>143</v>
      </c>
      <c r="P395" s="19" t="s">
        <v>178</v>
      </c>
      <c r="Q395" s="20">
        <f t="shared" si="4"/>
        <v>1.25</v>
      </c>
      <c r="R395" s="20">
        <f t="shared" si="5"/>
        <v>0.9454545455</v>
      </c>
      <c r="S395" s="20">
        <f t="shared" si="6"/>
        <v>0.01818181818</v>
      </c>
      <c r="T395" s="20">
        <f t="shared" si="7"/>
        <v>0.8545454545</v>
      </c>
      <c r="U395" s="20">
        <f>IF(B395="","",MIN(Q395/Targets!$B$2,1)*Targets!$D$2+MIN(G395/100/Targets!$B$3,1)*Targets!$D$3+MIN(T395/Targets!$B$4,1)*Targets!$D$4+MIN(R395/Targets!$B$5,1)*Targets!$D$5+MIN(N395/Targets!$B$6,1)*Targets!$D$6+MIN(Targets!$B$7/MAX(S395,0.0001),1)*Targets!$D$7)</f>
        <v>0.6958732057</v>
      </c>
    </row>
    <row r="396">
      <c r="A396" s="18">
        <v>46241.0</v>
      </c>
      <c r="B396" s="19" t="s">
        <v>118</v>
      </c>
      <c r="C396" s="19" t="s">
        <v>169</v>
      </c>
      <c r="D396" s="19" t="s">
        <v>121</v>
      </c>
      <c r="E396" s="14">
        <f t="shared" si="1"/>
        <v>8</v>
      </c>
      <c r="F396" s="19">
        <f t="shared" si="2"/>
        <v>14</v>
      </c>
      <c r="G396" s="20">
        <f t="shared" si="3"/>
        <v>1.75</v>
      </c>
      <c r="H396" s="19">
        <v>35.0</v>
      </c>
      <c r="I396" s="19">
        <v>40.0</v>
      </c>
      <c r="J396" s="19">
        <v>3.0</v>
      </c>
      <c r="K396" s="19">
        <v>3.7</v>
      </c>
      <c r="L396" s="19">
        <v>45.0</v>
      </c>
      <c r="M396" s="19">
        <v>57.0</v>
      </c>
      <c r="N396" s="19">
        <v>7.8</v>
      </c>
      <c r="O396" s="19" t="s">
        <v>143</v>
      </c>
      <c r="P396" s="19" t="s">
        <v>186</v>
      </c>
      <c r="Q396" s="20">
        <f t="shared" si="4"/>
        <v>1.75</v>
      </c>
      <c r="R396" s="20">
        <f t="shared" si="5"/>
        <v>0.875</v>
      </c>
      <c r="S396" s="20">
        <f t="shared" si="6"/>
        <v>0.075</v>
      </c>
      <c r="T396" s="20">
        <f t="shared" si="7"/>
        <v>0.7894736842</v>
      </c>
      <c r="U396" s="20">
        <f>IF(B396="","",MIN(Q396/Targets!$B$2,1)*Targets!$D$2+MIN(G396/100/Targets!$B$3,1)*Targets!$D$3+MIN(T396/Targets!$B$4,1)*Targets!$D$4+MIN(R396/Targets!$B$5,1)*Targets!$D$5+MIN(N396/Targets!$B$6,1)*Targets!$D$6+MIN(Targets!$B$7/MAX(S396,0.0001),1)*Targets!$D$7)</f>
        <v>0.6422368421</v>
      </c>
    </row>
    <row r="397">
      <c r="A397" s="18">
        <v>46241.0</v>
      </c>
      <c r="B397" s="19" t="s">
        <v>123</v>
      </c>
      <c r="C397" s="19" t="s">
        <v>171</v>
      </c>
      <c r="D397" s="19" t="s">
        <v>121</v>
      </c>
      <c r="E397" s="14">
        <f t="shared" si="1"/>
        <v>15</v>
      </c>
      <c r="F397" s="19">
        <f t="shared" si="2"/>
        <v>12</v>
      </c>
      <c r="G397" s="20">
        <f t="shared" si="3"/>
        <v>0.8</v>
      </c>
      <c r="H397" s="19">
        <v>49.0</v>
      </c>
      <c r="I397" s="19">
        <v>52.0</v>
      </c>
      <c r="J397" s="19">
        <v>4.0</v>
      </c>
      <c r="K397" s="19">
        <v>2.1</v>
      </c>
      <c r="L397" s="19">
        <v>63.0</v>
      </c>
      <c r="M397" s="19">
        <v>69.0</v>
      </c>
      <c r="N397" s="19">
        <v>7.2</v>
      </c>
      <c r="O397" s="19" t="s">
        <v>143</v>
      </c>
      <c r="P397" s="19" t="s">
        <v>189</v>
      </c>
      <c r="Q397" s="20">
        <f t="shared" si="4"/>
        <v>0.8</v>
      </c>
      <c r="R397" s="20">
        <f t="shared" si="5"/>
        <v>0.9423076923</v>
      </c>
      <c r="S397" s="20">
        <f t="shared" si="6"/>
        <v>0.07692307692</v>
      </c>
      <c r="T397" s="20">
        <f t="shared" si="7"/>
        <v>0.9130434783</v>
      </c>
      <c r="U397" s="20">
        <f>IF(B397="","",MIN(Q397/Targets!$B$2,1)*Targets!$D$2+MIN(G397/100/Targets!$B$3,1)*Targets!$D$3+MIN(T397/Targets!$B$4,1)*Targets!$D$4+MIN(R397/Targets!$B$5,1)*Targets!$D$5+MIN(N397/Targets!$B$6,1)*Targets!$D$6+MIN(Targets!$B$7/MAX(S397,0.0001),1)*Targets!$D$7)</f>
        <v>0.6442298695</v>
      </c>
    </row>
    <row r="398">
      <c r="A398" s="18">
        <v>46241.0</v>
      </c>
      <c r="B398" s="19" t="s">
        <v>126</v>
      </c>
      <c r="C398" s="19" t="s">
        <v>179</v>
      </c>
      <c r="D398" s="19" t="s">
        <v>121</v>
      </c>
      <c r="E398" s="14">
        <f t="shared" si="1"/>
        <v>11</v>
      </c>
      <c r="F398" s="19">
        <f t="shared" si="2"/>
        <v>9</v>
      </c>
      <c r="G398" s="20">
        <f t="shared" si="3"/>
        <v>0.8181818182</v>
      </c>
      <c r="H398" s="19">
        <v>43.0</v>
      </c>
      <c r="I398" s="19">
        <v>45.0</v>
      </c>
      <c r="J398" s="19">
        <v>1.0</v>
      </c>
      <c r="K398" s="19">
        <v>2.1</v>
      </c>
      <c r="L398" s="19">
        <v>60.0</v>
      </c>
      <c r="M398" s="19">
        <v>64.0</v>
      </c>
      <c r="N398" s="19">
        <v>7.8</v>
      </c>
      <c r="O398" s="19" t="s">
        <v>143</v>
      </c>
      <c r="P398" s="19" t="s">
        <v>191</v>
      </c>
      <c r="Q398" s="20">
        <f t="shared" si="4"/>
        <v>0.8181818182</v>
      </c>
      <c r="R398" s="20">
        <f t="shared" si="5"/>
        <v>0.9555555556</v>
      </c>
      <c r="S398" s="20">
        <f t="shared" si="6"/>
        <v>0.02222222222</v>
      </c>
      <c r="T398" s="20">
        <f t="shared" si="7"/>
        <v>0.9375</v>
      </c>
      <c r="U398" s="20">
        <f>IF(B398="","",MIN(Q398/Targets!$B$2,1)*Targets!$D$2+MIN(G398/100/Targets!$B$3,1)*Targets!$D$3+MIN(T398/Targets!$B$4,1)*Targets!$D$4+MIN(R398/Targets!$B$5,1)*Targets!$D$5+MIN(N398/Targets!$B$6,1)*Targets!$D$6+MIN(Targets!$B$7/MAX(S398,0.0001),1)*Targets!$D$7)</f>
        <v>0.6845454545</v>
      </c>
    </row>
    <row r="399">
      <c r="A399" s="18">
        <v>46241.0</v>
      </c>
      <c r="B399" s="19" t="s">
        <v>129</v>
      </c>
      <c r="C399" s="19" t="s">
        <v>188</v>
      </c>
      <c r="D399" s="19" t="s">
        <v>121</v>
      </c>
      <c r="E399" s="14">
        <f t="shared" si="1"/>
        <v>6</v>
      </c>
      <c r="F399" s="19">
        <f t="shared" si="2"/>
        <v>11</v>
      </c>
      <c r="G399" s="20">
        <f t="shared" si="3"/>
        <v>1.833333333</v>
      </c>
      <c r="H399" s="19">
        <v>36.0</v>
      </c>
      <c r="I399" s="19">
        <v>42.0</v>
      </c>
      <c r="J399" s="19">
        <v>2.0</v>
      </c>
      <c r="K399" s="19">
        <v>3.1</v>
      </c>
      <c r="L399" s="19">
        <v>45.0</v>
      </c>
      <c r="M399" s="19">
        <v>50.0</v>
      </c>
      <c r="N399" s="19">
        <v>7.1</v>
      </c>
      <c r="O399" s="19" t="s">
        <v>143</v>
      </c>
      <c r="P399" s="19" t="s">
        <v>191</v>
      </c>
      <c r="Q399" s="20">
        <f t="shared" si="4"/>
        <v>1.833333333</v>
      </c>
      <c r="R399" s="20">
        <f t="shared" si="5"/>
        <v>0.8571428571</v>
      </c>
      <c r="S399" s="20">
        <f t="shared" si="6"/>
        <v>0.04761904762</v>
      </c>
      <c r="T399" s="20">
        <f t="shared" si="7"/>
        <v>0.9</v>
      </c>
      <c r="U399" s="20">
        <f>IF(B399="","",MIN(Q399/Targets!$B$2,1)*Targets!$D$2+MIN(G399/100/Targets!$B$3,1)*Targets!$D$3+MIN(T399/Targets!$B$4,1)*Targets!$D$4+MIN(R399/Targets!$B$5,1)*Targets!$D$5+MIN(N399/Targets!$B$6,1)*Targets!$D$6+MIN(Targets!$B$7/MAX(S399,0.0001),1)*Targets!$D$7)</f>
        <v>0.691449457</v>
      </c>
    </row>
    <row r="400">
      <c r="A400" s="18">
        <v>46241.0</v>
      </c>
      <c r="B400" s="19" t="s">
        <v>132</v>
      </c>
      <c r="C400" s="19" t="s">
        <v>190</v>
      </c>
      <c r="D400" s="19" t="s">
        <v>121</v>
      </c>
      <c r="E400" s="14">
        <f t="shared" si="1"/>
        <v>14</v>
      </c>
      <c r="F400" s="19">
        <f t="shared" si="2"/>
        <v>12</v>
      </c>
      <c r="G400" s="20">
        <f t="shared" si="3"/>
        <v>0.8571428571</v>
      </c>
      <c r="H400" s="19">
        <v>36.0</v>
      </c>
      <c r="I400" s="19">
        <v>41.0</v>
      </c>
      <c r="J400" s="19">
        <v>2.0</v>
      </c>
      <c r="K400" s="19">
        <v>3.3</v>
      </c>
      <c r="L400" s="19">
        <v>52.0</v>
      </c>
      <c r="M400" s="19">
        <v>56.0</v>
      </c>
      <c r="N400" s="19">
        <v>7.4</v>
      </c>
      <c r="O400" s="19" t="s">
        <v>143</v>
      </c>
      <c r="P400" s="19" t="s">
        <v>178</v>
      </c>
      <c r="Q400" s="20">
        <f t="shared" si="4"/>
        <v>0.8571428571</v>
      </c>
      <c r="R400" s="20">
        <f t="shared" si="5"/>
        <v>0.8780487805</v>
      </c>
      <c r="S400" s="20">
        <f t="shared" si="6"/>
        <v>0.0487804878</v>
      </c>
      <c r="T400" s="20">
        <f t="shared" si="7"/>
        <v>0.9285714286</v>
      </c>
      <c r="U400" s="20">
        <f>IF(B400="","",MIN(Q400/Targets!$B$2,1)*Targets!$D$2+MIN(G400/100/Targets!$B$3,1)*Targets!$D$3+MIN(T400/Targets!$B$4,1)*Targets!$D$4+MIN(R400/Targets!$B$5,1)*Targets!$D$5+MIN(N400/Targets!$B$6,1)*Targets!$D$6+MIN(Targets!$B$7/MAX(S400,0.0001),1)*Targets!$D$7)</f>
        <v>0.6819726145</v>
      </c>
    </row>
    <row r="401">
      <c r="A401" s="18">
        <v>46241.0</v>
      </c>
      <c r="B401" s="19" t="s">
        <v>135</v>
      </c>
      <c r="C401" s="19" t="s">
        <v>169</v>
      </c>
      <c r="D401" s="19" t="s">
        <v>121</v>
      </c>
      <c r="E401" s="14">
        <f t="shared" si="1"/>
        <v>7</v>
      </c>
      <c r="F401" s="19">
        <f t="shared" si="2"/>
        <v>8</v>
      </c>
      <c r="G401" s="20">
        <f t="shared" si="3"/>
        <v>1.142857143</v>
      </c>
      <c r="H401" s="19">
        <v>25.0</v>
      </c>
      <c r="I401" s="19">
        <v>27.0</v>
      </c>
      <c r="J401" s="19">
        <v>1.0</v>
      </c>
      <c r="K401" s="19">
        <v>2.6</v>
      </c>
      <c r="L401" s="19">
        <v>38.0</v>
      </c>
      <c r="M401" s="19">
        <v>43.0</v>
      </c>
      <c r="N401" s="19">
        <v>6.9</v>
      </c>
      <c r="O401" s="19" t="s">
        <v>143</v>
      </c>
      <c r="P401" s="19" t="s">
        <v>186</v>
      </c>
      <c r="Q401" s="20">
        <f t="shared" si="4"/>
        <v>1.142857143</v>
      </c>
      <c r="R401" s="20">
        <f t="shared" si="5"/>
        <v>0.9259259259</v>
      </c>
      <c r="S401" s="20">
        <f t="shared" si="6"/>
        <v>0.03703703704</v>
      </c>
      <c r="T401" s="20">
        <f t="shared" si="7"/>
        <v>0.8837209302</v>
      </c>
      <c r="U401" s="20">
        <f>IF(B401="","",MIN(Q401/Targets!$B$2,1)*Targets!$D$2+MIN(G401/100/Targets!$B$3,1)*Targets!$D$3+MIN(T401/Targets!$B$4,1)*Targets!$D$4+MIN(R401/Targets!$B$5,1)*Targets!$D$5+MIN(N401/Targets!$B$6,1)*Targets!$D$6+MIN(Targets!$B$7/MAX(S401,0.0001),1)*Targets!$D$7)</f>
        <v>0.6958666045</v>
      </c>
    </row>
    <row r="402">
      <c r="A402" s="18">
        <v>46244.0</v>
      </c>
      <c r="B402" s="19" t="s">
        <v>10</v>
      </c>
      <c r="C402" s="19" t="s">
        <v>14</v>
      </c>
      <c r="D402" s="19" t="s">
        <v>121</v>
      </c>
      <c r="E402" s="14">
        <f t="shared" si="1"/>
        <v>15</v>
      </c>
      <c r="F402" s="19">
        <f t="shared" si="2"/>
        <v>15</v>
      </c>
      <c r="G402" s="20">
        <f t="shared" si="3"/>
        <v>1</v>
      </c>
      <c r="H402" s="19">
        <v>38.0</v>
      </c>
      <c r="I402" s="19">
        <v>41.0</v>
      </c>
      <c r="J402" s="19">
        <v>1.0</v>
      </c>
      <c r="K402" s="19">
        <v>4.0</v>
      </c>
      <c r="L402" s="19">
        <v>44.0</v>
      </c>
      <c r="M402" s="19">
        <v>51.0</v>
      </c>
      <c r="N402" s="19">
        <v>7.6</v>
      </c>
      <c r="O402" s="19" t="s">
        <v>143</v>
      </c>
      <c r="P402" s="19" t="s">
        <v>191</v>
      </c>
      <c r="Q402" s="20">
        <f t="shared" si="4"/>
        <v>1</v>
      </c>
      <c r="R402" s="20">
        <f t="shared" si="5"/>
        <v>0.9268292683</v>
      </c>
      <c r="S402" s="20">
        <f t="shared" si="6"/>
        <v>0.0243902439</v>
      </c>
      <c r="T402" s="20">
        <f t="shared" si="7"/>
        <v>0.862745098</v>
      </c>
      <c r="U402" s="20">
        <f>IF(B402="","",MIN(Q402/Targets!$B$2,1)*Targets!$D$2+MIN(G402/100/Targets!$B$3,1)*Targets!$D$3+MIN(T402/Targets!$B$4,1)*Targets!$D$4+MIN(R402/Targets!$B$5,1)*Targets!$D$5+MIN(N402/Targets!$B$6,1)*Targets!$D$6+MIN(Targets!$B$7/MAX(S402,0.0001),1)*Targets!$D$7)</f>
        <v>0.6934656464</v>
      </c>
    </row>
    <row r="403">
      <c r="A403" s="18">
        <v>46244.0</v>
      </c>
      <c r="B403" s="19" t="s">
        <v>25</v>
      </c>
      <c r="C403" s="19" t="s">
        <v>167</v>
      </c>
      <c r="D403" s="19" t="s">
        <v>121</v>
      </c>
      <c r="E403" s="14">
        <f t="shared" si="1"/>
        <v>13</v>
      </c>
      <c r="F403" s="19">
        <f t="shared" si="2"/>
        <v>6</v>
      </c>
      <c r="G403" s="20">
        <f t="shared" si="3"/>
        <v>0.4615384615</v>
      </c>
      <c r="H403" s="19">
        <v>36.0</v>
      </c>
      <c r="I403" s="19">
        <v>39.0</v>
      </c>
      <c r="J403" s="19">
        <v>3.0</v>
      </c>
      <c r="K403" s="19">
        <v>3.9</v>
      </c>
      <c r="L403" s="19">
        <v>28.0</v>
      </c>
      <c r="M403" s="19">
        <v>32.0</v>
      </c>
      <c r="N403" s="19">
        <v>3.6</v>
      </c>
      <c r="O403" s="19" t="s">
        <v>200</v>
      </c>
      <c r="P403" s="19" t="s">
        <v>189</v>
      </c>
      <c r="Q403" s="20">
        <f t="shared" si="4"/>
        <v>0.4615384615</v>
      </c>
      <c r="R403" s="20">
        <f t="shared" si="5"/>
        <v>0.9230769231</v>
      </c>
      <c r="S403" s="20">
        <f t="shared" si="6"/>
        <v>0.07692307692</v>
      </c>
      <c r="T403" s="20">
        <f t="shared" si="7"/>
        <v>0.875</v>
      </c>
      <c r="U403" s="20">
        <f>IF(B403="","",MIN(Q403/Targets!$B$2,1)*Targets!$D$2+MIN(G403/100/Targets!$B$3,1)*Targets!$D$3+MIN(T403/Targets!$B$4,1)*Targets!$D$4+MIN(R403/Targets!$B$5,1)*Targets!$D$5+MIN(N403/Targets!$B$6,1)*Targets!$D$6+MIN(Targets!$B$7/MAX(S403,0.0001),1)*Targets!$D$7)</f>
        <v>0.5121134567</v>
      </c>
    </row>
    <row r="404">
      <c r="A404" s="18">
        <v>46244.0</v>
      </c>
      <c r="B404" s="19" t="s">
        <v>37</v>
      </c>
      <c r="C404" s="19" t="s">
        <v>169</v>
      </c>
      <c r="D404" s="19" t="s">
        <v>121</v>
      </c>
      <c r="E404" s="14">
        <f t="shared" si="1"/>
        <v>9</v>
      </c>
      <c r="F404" s="19">
        <f t="shared" si="2"/>
        <v>8</v>
      </c>
      <c r="G404" s="20">
        <f t="shared" si="3"/>
        <v>0.8888888889</v>
      </c>
      <c r="H404" s="19">
        <v>30.0</v>
      </c>
      <c r="I404" s="19">
        <v>32.0</v>
      </c>
      <c r="J404" s="19">
        <v>2.0</v>
      </c>
      <c r="K404" s="19">
        <v>4.4</v>
      </c>
      <c r="L404" s="19">
        <v>35.0</v>
      </c>
      <c r="M404" s="19">
        <v>43.0</v>
      </c>
      <c r="N404" s="19">
        <v>6.8</v>
      </c>
      <c r="O404" s="19" t="s">
        <v>143</v>
      </c>
      <c r="P404" s="19" t="s">
        <v>168</v>
      </c>
      <c r="Q404" s="20">
        <f t="shared" si="4"/>
        <v>0.8888888889</v>
      </c>
      <c r="R404" s="20">
        <f t="shared" si="5"/>
        <v>0.9375</v>
      </c>
      <c r="S404" s="20">
        <f t="shared" si="6"/>
        <v>0.0625</v>
      </c>
      <c r="T404" s="20">
        <f t="shared" si="7"/>
        <v>0.8139534884</v>
      </c>
      <c r="U404" s="20">
        <f>IF(B404="","",MIN(Q404/Targets!$B$2,1)*Targets!$D$2+MIN(G404/100/Targets!$B$3,1)*Targets!$D$3+MIN(T404/Targets!$B$4,1)*Targets!$D$4+MIN(R404/Targets!$B$5,1)*Targets!$D$5+MIN(N404/Targets!$B$6,1)*Targets!$D$6+MIN(Targets!$B$7/MAX(S404,0.0001),1)*Targets!$D$7)</f>
        <v>0.6613219148</v>
      </c>
    </row>
    <row r="405">
      <c r="A405" s="18">
        <v>46244.0</v>
      </c>
      <c r="B405" s="19" t="s">
        <v>42</v>
      </c>
      <c r="C405" s="19" t="s">
        <v>171</v>
      </c>
      <c r="D405" s="19" t="s">
        <v>121</v>
      </c>
      <c r="E405" s="14">
        <f t="shared" si="1"/>
        <v>16</v>
      </c>
      <c r="F405" s="19">
        <f t="shared" si="2"/>
        <v>8</v>
      </c>
      <c r="G405" s="20">
        <f t="shared" si="3"/>
        <v>0.5</v>
      </c>
      <c r="H405" s="19">
        <v>35.0</v>
      </c>
      <c r="I405" s="19">
        <v>38.0</v>
      </c>
      <c r="J405" s="19">
        <v>2.0</v>
      </c>
      <c r="K405" s="19">
        <v>2.5</v>
      </c>
      <c r="L405" s="19">
        <v>40.0</v>
      </c>
      <c r="M405" s="19">
        <v>44.0</v>
      </c>
      <c r="N405" s="19">
        <v>7.6</v>
      </c>
      <c r="O405" s="19" t="s">
        <v>143</v>
      </c>
      <c r="P405" s="19" t="s">
        <v>144</v>
      </c>
      <c r="Q405" s="20">
        <f t="shared" si="4"/>
        <v>0.5</v>
      </c>
      <c r="R405" s="20">
        <f t="shared" si="5"/>
        <v>0.9210526316</v>
      </c>
      <c r="S405" s="20">
        <f t="shared" si="6"/>
        <v>0.05263157895</v>
      </c>
      <c r="T405" s="20">
        <f t="shared" si="7"/>
        <v>0.9090909091</v>
      </c>
      <c r="U405" s="20">
        <f>IF(B405="","",MIN(Q405/Targets!$B$2,1)*Targets!$D$2+MIN(G405/100/Targets!$B$3,1)*Targets!$D$3+MIN(T405/Targets!$B$4,1)*Targets!$D$4+MIN(R405/Targets!$B$5,1)*Targets!$D$5+MIN(N405/Targets!$B$6,1)*Targets!$D$6+MIN(Targets!$B$7/MAX(S405,0.0001),1)*Targets!$D$7)</f>
        <v>0.6032071407</v>
      </c>
    </row>
    <row r="406">
      <c r="A406" s="18">
        <v>46244.0</v>
      </c>
      <c r="B406" s="19" t="s">
        <v>46</v>
      </c>
      <c r="C406" s="19" t="s">
        <v>179</v>
      </c>
      <c r="D406" s="19" t="s">
        <v>121</v>
      </c>
      <c r="E406" s="14">
        <f t="shared" si="1"/>
        <v>9</v>
      </c>
      <c r="F406" s="19">
        <f t="shared" si="2"/>
        <v>12</v>
      </c>
      <c r="G406" s="20">
        <f t="shared" si="3"/>
        <v>1.333333333</v>
      </c>
      <c r="H406" s="19">
        <v>28.0</v>
      </c>
      <c r="I406" s="19">
        <v>34.0</v>
      </c>
      <c r="J406" s="19">
        <v>3.0</v>
      </c>
      <c r="K406" s="19">
        <v>4.3</v>
      </c>
      <c r="L406" s="19">
        <v>44.0</v>
      </c>
      <c r="M406" s="19">
        <v>54.0</v>
      </c>
      <c r="N406" s="19">
        <v>5.7</v>
      </c>
      <c r="O406" s="19" t="s">
        <v>143</v>
      </c>
      <c r="P406" s="19" t="s">
        <v>168</v>
      </c>
      <c r="Q406" s="20">
        <f t="shared" si="4"/>
        <v>1.333333333</v>
      </c>
      <c r="R406" s="20">
        <f t="shared" si="5"/>
        <v>0.8235294118</v>
      </c>
      <c r="S406" s="20">
        <f t="shared" si="6"/>
        <v>0.08823529412</v>
      </c>
      <c r="T406" s="20">
        <f t="shared" si="7"/>
        <v>0.8148148148</v>
      </c>
      <c r="U406" s="20">
        <f>IF(B406="","",MIN(Q406/Targets!$B$2,1)*Targets!$D$2+MIN(G406/100/Targets!$B$3,1)*Targets!$D$3+MIN(T406/Targets!$B$4,1)*Targets!$D$4+MIN(R406/Targets!$B$5,1)*Targets!$D$5+MIN(N406/Targets!$B$6,1)*Targets!$D$6+MIN(Targets!$B$7/MAX(S406,0.0001),1)*Targets!$D$7)</f>
        <v>0.6083731114</v>
      </c>
    </row>
    <row r="407">
      <c r="A407" s="18">
        <v>46244.0</v>
      </c>
      <c r="B407" s="19" t="s">
        <v>53</v>
      </c>
      <c r="C407" s="19" t="s">
        <v>14</v>
      </c>
      <c r="D407" s="19" t="s">
        <v>121</v>
      </c>
      <c r="E407" s="14">
        <f t="shared" si="1"/>
        <v>7</v>
      </c>
      <c r="F407" s="19">
        <f t="shared" si="2"/>
        <v>10</v>
      </c>
      <c r="G407" s="20">
        <f t="shared" si="3"/>
        <v>1.428571429</v>
      </c>
      <c r="H407" s="19">
        <v>58.0</v>
      </c>
      <c r="I407" s="19">
        <v>61.0</v>
      </c>
      <c r="J407" s="19">
        <v>2.0</v>
      </c>
      <c r="K407" s="19">
        <v>3.0</v>
      </c>
      <c r="L407" s="19">
        <v>60.0</v>
      </c>
      <c r="M407" s="19">
        <v>68.0</v>
      </c>
      <c r="N407" s="19">
        <v>7.6</v>
      </c>
      <c r="O407" s="19" t="s">
        <v>143</v>
      </c>
      <c r="P407" s="19" t="s">
        <v>178</v>
      </c>
      <c r="Q407" s="20">
        <f t="shared" si="4"/>
        <v>1.428571429</v>
      </c>
      <c r="R407" s="20">
        <f t="shared" si="5"/>
        <v>0.9508196721</v>
      </c>
      <c r="S407" s="20">
        <f t="shared" si="6"/>
        <v>0.03278688525</v>
      </c>
      <c r="T407" s="20">
        <f t="shared" si="7"/>
        <v>0.8823529412</v>
      </c>
      <c r="U407" s="20">
        <f>IF(B407="","",MIN(Q407/Targets!$B$2,1)*Targets!$D$2+MIN(G407/100/Targets!$B$3,1)*Targets!$D$3+MIN(T407/Targets!$B$4,1)*Targets!$D$4+MIN(R407/Targets!$B$5,1)*Targets!$D$5+MIN(N407/Targets!$B$6,1)*Targets!$D$6+MIN(Targets!$B$7/MAX(S407,0.0001),1)*Targets!$D$7)</f>
        <v>0.7018207283</v>
      </c>
    </row>
    <row r="408">
      <c r="A408" s="18">
        <v>46244.0</v>
      </c>
      <c r="B408" s="19" t="s">
        <v>65</v>
      </c>
      <c r="C408" s="19" t="s">
        <v>167</v>
      </c>
      <c r="D408" s="19" t="s">
        <v>121</v>
      </c>
      <c r="E408" s="14">
        <f t="shared" si="1"/>
        <v>7</v>
      </c>
      <c r="F408" s="19">
        <f t="shared" si="2"/>
        <v>11</v>
      </c>
      <c r="G408" s="20">
        <f t="shared" si="3"/>
        <v>1.571428571</v>
      </c>
      <c r="H408" s="19">
        <v>36.0</v>
      </c>
      <c r="I408" s="19">
        <v>39.0</v>
      </c>
      <c r="J408" s="19">
        <v>3.0</v>
      </c>
      <c r="K408" s="19">
        <v>2.0</v>
      </c>
      <c r="L408" s="19">
        <v>48.0</v>
      </c>
      <c r="M408" s="19">
        <v>52.0</v>
      </c>
      <c r="N408" s="19">
        <v>7.6</v>
      </c>
      <c r="O408" s="19" t="s">
        <v>143</v>
      </c>
      <c r="P408" s="19" t="s">
        <v>178</v>
      </c>
      <c r="Q408" s="20">
        <f t="shared" si="4"/>
        <v>1.571428571</v>
      </c>
      <c r="R408" s="20">
        <f t="shared" si="5"/>
        <v>0.9230769231</v>
      </c>
      <c r="S408" s="20">
        <f t="shared" si="6"/>
        <v>0.07692307692</v>
      </c>
      <c r="T408" s="20">
        <f t="shared" si="7"/>
        <v>0.9230769231</v>
      </c>
      <c r="U408" s="20">
        <f>IF(B408="","",MIN(Q408/Targets!$B$2,1)*Targets!$D$2+MIN(G408/100/Targets!$B$3,1)*Targets!$D$3+MIN(T408/Targets!$B$4,1)*Targets!$D$4+MIN(R408/Targets!$B$5,1)*Targets!$D$5+MIN(N408/Targets!$B$6,1)*Targets!$D$6+MIN(Targets!$B$7/MAX(S408,0.0001),1)*Targets!$D$7)</f>
        <v>0.6659870831</v>
      </c>
    </row>
    <row r="409">
      <c r="A409" s="18">
        <v>46244.0</v>
      </c>
      <c r="B409" s="19" t="s">
        <v>73</v>
      </c>
      <c r="C409" s="19" t="s">
        <v>169</v>
      </c>
      <c r="D409" s="19" t="s">
        <v>121</v>
      </c>
      <c r="E409" s="14">
        <f t="shared" si="1"/>
        <v>6</v>
      </c>
      <c r="F409" s="19">
        <f t="shared" si="2"/>
        <v>8</v>
      </c>
      <c r="G409" s="20">
        <f t="shared" si="3"/>
        <v>1.333333333</v>
      </c>
      <c r="H409" s="19">
        <v>46.0</v>
      </c>
      <c r="I409" s="19">
        <v>48.0</v>
      </c>
      <c r="J409" s="19">
        <v>4.0</v>
      </c>
      <c r="K409" s="19">
        <v>2.5</v>
      </c>
      <c r="L409" s="19">
        <v>46.0</v>
      </c>
      <c r="M409" s="19">
        <v>48.0</v>
      </c>
      <c r="N409" s="19">
        <v>7.9</v>
      </c>
      <c r="O409" s="19" t="s">
        <v>143</v>
      </c>
      <c r="P409" s="19" t="s">
        <v>144</v>
      </c>
      <c r="Q409" s="20">
        <f t="shared" si="4"/>
        <v>1.333333333</v>
      </c>
      <c r="R409" s="20">
        <f t="shared" si="5"/>
        <v>0.9583333333</v>
      </c>
      <c r="S409" s="20">
        <f t="shared" si="6"/>
        <v>0.08333333333</v>
      </c>
      <c r="T409" s="20">
        <f t="shared" si="7"/>
        <v>0.9583333333</v>
      </c>
      <c r="U409" s="20">
        <f>IF(B409="","",MIN(Q409/Targets!$B$2,1)*Targets!$D$2+MIN(G409/100/Targets!$B$3,1)*Targets!$D$3+MIN(T409/Targets!$B$4,1)*Targets!$D$4+MIN(R409/Targets!$B$5,1)*Targets!$D$5+MIN(N409/Targets!$B$6,1)*Targets!$D$6+MIN(Targets!$B$7/MAX(S409,0.0001),1)*Targets!$D$7)</f>
        <v>0.6644444444</v>
      </c>
    </row>
    <row r="410">
      <c r="A410" s="18">
        <v>46244.0</v>
      </c>
      <c r="B410" s="19" t="s">
        <v>78</v>
      </c>
      <c r="C410" s="19" t="s">
        <v>171</v>
      </c>
      <c r="D410" s="19" t="s">
        <v>121</v>
      </c>
      <c r="E410" s="14">
        <f t="shared" si="1"/>
        <v>10</v>
      </c>
      <c r="F410" s="19">
        <f t="shared" si="2"/>
        <v>13</v>
      </c>
      <c r="G410" s="20">
        <f t="shared" si="3"/>
        <v>1.3</v>
      </c>
      <c r="H410" s="19">
        <v>49.0</v>
      </c>
      <c r="I410" s="19">
        <v>53.0</v>
      </c>
      <c r="J410" s="19">
        <v>1.0</v>
      </c>
      <c r="K410" s="19">
        <v>2.0</v>
      </c>
      <c r="L410" s="19">
        <v>59.0</v>
      </c>
      <c r="M410" s="19">
        <v>64.0</v>
      </c>
      <c r="N410" s="19">
        <v>7.9</v>
      </c>
      <c r="O410" s="19" t="s">
        <v>143</v>
      </c>
      <c r="P410" s="19" t="s">
        <v>178</v>
      </c>
      <c r="Q410" s="20">
        <f t="shared" si="4"/>
        <v>1.3</v>
      </c>
      <c r="R410" s="20">
        <f t="shared" si="5"/>
        <v>0.9245283019</v>
      </c>
      <c r="S410" s="20">
        <f t="shared" si="6"/>
        <v>0.01886792453</v>
      </c>
      <c r="T410" s="20">
        <f t="shared" si="7"/>
        <v>0.921875</v>
      </c>
      <c r="U410" s="20">
        <f>IF(B410="","",MIN(Q410/Targets!$B$2,1)*Targets!$D$2+MIN(G410/100/Targets!$B$3,1)*Targets!$D$3+MIN(T410/Targets!$B$4,1)*Targets!$D$4+MIN(R410/Targets!$B$5,1)*Targets!$D$5+MIN(N410/Targets!$B$6,1)*Targets!$D$6+MIN(Targets!$B$7/MAX(S410,0.0001),1)*Targets!$D$7)</f>
        <v>0.7003114863</v>
      </c>
    </row>
    <row r="411">
      <c r="A411" s="18">
        <v>46244.0</v>
      </c>
      <c r="B411" s="19" t="s">
        <v>84</v>
      </c>
      <c r="C411" s="19" t="s">
        <v>179</v>
      </c>
      <c r="D411" s="19" t="s">
        <v>121</v>
      </c>
      <c r="E411" s="14">
        <f t="shared" si="1"/>
        <v>7</v>
      </c>
      <c r="F411" s="19">
        <f t="shared" si="2"/>
        <v>14</v>
      </c>
      <c r="G411" s="20">
        <f t="shared" si="3"/>
        <v>2</v>
      </c>
      <c r="H411" s="19">
        <v>56.0</v>
      </c>
      <c r="I411" s="19">
        <v>58.0</v>
      </c>
      <c r="J411" s="19">
        <v>1.0</v>
      </c>
      <c r="K411" s="19">
        <v>3.0</v>
      </c>
      <c r="L411" s="19">
        <v>59.0</v>
      </c>
      <c r="M411" s="19">
        <v>66.0</v>
      </c>
      <c r="N411" s="19">
        <v>8.4</v>
      </c>
      <c r="O411" s="19" t="s">
        <v>143</v>
      </c>
      <c r="P411" s="19" t="s">
        <v>144</v>
      </c>
      <c r="Q411" s="20">
        <f t="shared" si="4"/>
        <v>2</v>
      </c>
      <c r="R411" s="20">
        <f t="shared" si="5"/>
        <v>0.9655172414</v>
      </c>
      <c r="S411" s="20">
        <f t="shared" si="6"/>
        <v>0.01724137931</v>
      </c>
      <c r="T411" s="20">
        <f t="shared" si="7"/>
        <v>0.8939393939</v>
      </c>
      <c r="U411" s="20">
        <f>IF(B411="","",MIN(Q411/Targets!$B$2,1)*Targets!$D$2+MIN(G411/100/Targets!$B$3,1)*Targets!$D$3+MIN(T411/Targets!$B$4,1)*Targets!$D$4+MIN(R411/Targets!$B$5,1)*Targets!$D$5+MIN(N411/Targets!$B$6,1)*Targets!$D$6+MIN(Targets!$B$7/MAX(S411,0.0001),1)*Targets!$D$7)</f>
        <v>0.7056565657</v>
      </c>
    </row>
    <row r="412">
      <c r="A412" s="18">
        <v>46244.0</v>
      </c>
      <c r="B412" s="19" t="s">
        <v>91</v>
      </c>
      <c r="C412" s="19" t="s">
        <v>188</v>
      </c>
      <c r="D412" s="19" t="s">
        <v>121</v>
      </c>
      <c r="E412" s="14">
        <f t="shared" si="1"/>
        <v>13</v>
      </c>
      <c r="F412" s="19">
        <f t="shared" si="2"/>
        <v>10</v>
      </c>
      <c r="G412" s="20">
        <f t="shared" si="3"/>
        <v>0.7692307692</v>
      </c>
      <c r="H412" s="19">
        <v>26.0</v>
      </c>
      <c r="I412" s="19">
        <v>29.0</v>
      </c>
      <c r="J412" s="19">
        <v>2.0</v>
      </c>
      <c r="K412" s="19">
        <v>4.2</v>
      </c>
      <c r="L412" s="19">
        <v>35.0</v>
      </c>
      <c r="M412" s="19">
        <v>40.0</v>
      </c>
      <c r="N412" s="19">
        <v>8.0</v>
      </c>
      <c r="O412" s="19" t="s">
        <v>143</v>
      </c>
      <c r="P412" s="19" t="s">
        <v>191</v>
      </c>
      <c r="Q412" s="20">
        <f t="shared" si="4"/>
        <v>0.7692307692</v>
      </c>
      <c r="R412" s="20">
        <f t="shared" si="5"/>
        <v>0.8965517241</v>
      </c>
      <c r="S412" s="20">
        <f t="shared" si="6"/>
        <v>0.06896551724</v>
      </c>
      <c r="T412" s="20">
        <f t="shared" si="7"/>
        <v>0.875</v>
      </c>
      <c r="U412" s="20">
        <f>IF(B412="","",MIN(Q412/Targets!$B$2,1)*Targets!$D$2+MIN(G412/100/Targets!$B$3,1)*Targets!$D$3+MIN(T412/Targets!$B$4,1)*Targets!$D$4+MIN(R412/Targets!$B$5,1)*Targets!$D$5+MIN(N412/Targets!$B$6,1)*Targets!$D$6+MIN(Targets!$B$7/MAX(S412,0.0001),1)*Targets!$D$7)</f>
        <v>0.6333984054</v>
      </c>
    </row>
    <row r="413">
      <c r="A413" s="18">
        <v>46244.0</v>
      </c>
      <c r="B413" s="19" t="s">
        <v>100</v>
      </c>
      <c r="C413" s="19" t="s">
        <v>190</v>
      </c>
      <c r="D413" s="19" t="s">
        <v>121</v>
      </c>
      <c r="E413" s="14">
        <f t="shared" si="1"/>
        <v>7</v>
      </c>
      <c r="F413" s="19">
        <f t="shared" si="2"/>
        <v>12</v>
      </c>
      <c r="G413" s="20">
        <f t="shared" si="3"/>
        <v>1.714285714</v>
      </c>
      <c r="H413" s="19">
        <v>28.0</v>
      </c>
      <c r="I413" s="19">
        <v>32.0</v>
      </c>
      <c r="J413" s="19">
        <v>0.0</v>
      </c>
      <c r="K413" s="19">
        <v>3.6</v>
      </c>
      <c r="L413" s="19">
        <v>36.0</v>
      </c>
      <c r="M413" s="19">
        <v>44.0</v>
      </c>
      <c r="N413" s="19">
        <v>8.0</v>
      </c>
      <c r="O413" s="19" t="s">
        <v>143</v>
      </c>
      <c r="P413" s="19" t="s">
        <v>178</v>
      </c>
      <c r="Q413" s="20">
        <f t="shared" si="4"/>
        <v>1.714285714</v>
      </c>
      <c r="R413" s="20">
        <f t="shared" si="5"/>
        <v>0.875</v>
      </c>
      <c r="S413" s="20">
        <f t="shared" si="6"/>
        <v>0</v>
      </c>
      <c r="T413" s="20">
        <f t="shared" si="7"/>
        <v>0.8181818182</v>
      </c>
      <c r="U413" s="20">
        <f>IF(B413="","",MIN(Q413/Targets!$B$2,1)*Targets!$D$2+MIN(G413/100/Targets!$B$3,1)*Targets!$D$3+MIN(T413/Targets!$B$4,1)*Targets!$D$4+MIN(R413/Targets!$B$5,1)*Targets!$D$5+MIN(N413/Targets!$B$6,1)*Targets!$D$6+MIN(Targets!$B$7/MAX(S413,0.0001),1)*Targets!$D$7)</f>
        <v>0.6802358168</v>
      </c>
    </row>
    <row r="414">
      <c r="A414" s="18">
        <v>46244.0</v>
      </c>
      <c r="B414" s="19" t="s">
        <v>109</v>
      </c>
      <c r="C414" s="19" t="s">
        <v>14</v>
      </c>
      <c r="D414" s="19" t="s">
        <v>121</v>
      </c>
      <c r="E414" s="14">
        <f t="shared" si="1"/>
        <v>9</v>
      </c>
      <c r="F414" s="19">
        <f t="shared" si="2"/>
        <v>12</v>
      </c>
      <c r="G414" s="20">
        <f t="shared" si="3"/>
        <v>1.333333333</v>
      </c>
      <c r="H414" s="19">
        <v>31.0</v>
      </c>
      <c r="I414" s="19">
        <v>33.0</v>
      </c>
      <c r="J414" s="19">
        <v>2.0</v>
      </c>
      <c r="K414" s="19">
        <v>3.5</v>
      </c>
      <c r="L414" s="19">
        <v>38.0</v>
      </c>
      <c r="M414" s="19">
        <v>43.0</v>
      </c>
      <c r="N414" s="19">
        <v>6.8</v>
      </c>
      <c r="O414" s="19" t="s">
        <v>143</v>
      </c>
      <c r="P414" s="19" t="s">
        <v>178</v>
      </c>
      <c r="Q414" s="20">
        <f t="shared" si="4"/>
        <v>1.333333333</v>
      </c>
      <c r="R414" s="20">
        <f t="shared" si="5"/>
        <v>0.9393939394</v>
      </c>
      <c r="S414" s="20">
        <f t="shared" si="6"/>
        <v>0.06060606061</v>
      </c>
      <c r="T414" s="20">
        <f t="shared" si="7"/>
        <v>0.8837209302</v>
      </c>
      <c r="U414" s="20">
        <f>IF(B414="","",MIN(Q414/Targets!$B$2,1)*Targets!$D$2+MIN(G414/100/Targets!$B$3,1)*Targets!$D$3+MIN(T414/Targets!$B$4,1)*Targets!$D$4+MIN(R414/Targets!$B$5,1)*Targets!$D$5+MIN(N414/Targets!$B$6,1)*Targets!$D$6+MIN(Targets!$B$7/MAX(S414,0.0001),1)*Targets!$D$7)</f>
        <v>0.6796994821</v>
      </c>
    </row>
    <row r="415">
      <c r="A415" s="18">
        <v>46244.0</v>
      </c>
      <c r="B415" s="19" t="s">
        <v>115</v>
      </c>
      <c r="C415" s="19" t="s">
        <v>167</v>
      </c>
      <c r="D415" s="19" t="s">
        <v>121</v>
      </c>
      <c r="E415" s="14">
        <f t="shared" si="1"/>
        <v>16</v>
      </c>
      <c r="F415" s="19">
        <f t="shared" si="2"/>
        <v>6</v>
      </c>
      <c r="G415" s="20">
        <f t="shared" si="3"/>
        <v>0.375</v>
      </c>
      <c r="H415" s="19">
        <v>21.0</v>
      </c>
      <c r="I415" s="19">
        <v>24.0</v>
      </c>
      <c r="J415" s="19">
        <v>1.0</v>
      </c>
      <c r="K415" s="19">
        <v>4.4</v>
      </c>
      <c r="L415" s="19">
        <v>34.0</v>
      </c>
      <c r="M415" s="19">
        <v>55.0</v>
      </c>
      <c r="N415" s="19">
        <v>5.6</v>
      </c>
      <c r="O415" s="19" t="s">
        <v>143</v>
      </c>
      <c r="P415" s="19" t="s">
        <v>168</v>
      </c>
      <c r="Q415" s="20">
        <f t="shared" si="4"/>
        <v>0.375</v>
      </c>
      <c r="R415" s="20">
        <f t="shared" si="5"/>
        <v>0.875</v>
      </c>
      <c r="S415" s="20">
        <f t="shared" si="6"/>
        <v>0.04166666667</v>
      </c>
      <c r="T415" s="20">
        <f t="shared" si="7"/>
        <v>0.6181818182</v>
      </c>
      <c r="U415" s="20">
        <f>IF(B415="","",MIN(Q415/Targets!$B$2,1)*Targets!$D$2+MIN(G415/100/Targets!$B$3,1)*Targets!$D$3+MIN(T415/Targets!$B$4,1)*Targets!$D$4+MIN(R415/Targets!$B$5,1)*Targets!$D$5+MIN(N415/Targets!$B$6,1)*Targets!$D$6+MIN(Targets!$B$7/MAX(S415,0.0001),1)*Targets!$D$7)</f>
        <v>0.5057715311</v>
      </c>
    </row>
    <row r="416">
      <c r="A416" s="18">
        <v>46244.0</v>
      </c>
      <c r="B416" s="19" t="s">
        <v>118</v>
      </c>
      <c r="C416" s="19" t="s">
        <v>169</v>
      </c>
      <c r="D416" s="19" t="s">
        <v>121</v>
      </c>
      <c r="E416" s="14">
        <f t="shared" si="1"/>
        <v>6</v>
      </c>
      <c r="F416" s="19">
        <f t="shared" si="2"/>
        <v>8</v>
      </c>
      <c r="G416" s="20">
        <f t="shared" si="3"/>
        <v>1.333333333</v>
      </c>
      <c r="H416" s="19">
        <v>38.0</v>
      </c>
      <c r="I416" s="19">
        <v>43.0</v>
      </c>
      <c r="J416" s="19">
        <v>1.0</v>
      </c>
      <c r="K416" s="19">
        <v>2.7</v>
      </c>
      <c r="L416" s="19">
        <v>45.0</v>
      </c>
      <c r="M416" s="19">
        <v>48.0</v>
      </c>
      <c r="N416" s="19">
        <v>7.5</v>
      </c>
      <c r="O416" s="19" t="s">
        <v>143</v>
      </c>
      <c r="P416" s="19" t="s">
        <v>178</v>
      </c>
      <c r="Q416" s="20">
        <f t="shared" si="4"/>
        <v>1.333333333</v>
      </c>
      <c r="R416" s="20">
        <f t="shared" si="5"/>
        <v>0.8837209302</v>
      </c>
      <c r="S416" s="20">
        <f t="shared" si="6"/>
        <v>0.02325581395</v>
      </c>
      <c r="T416" s="20">
        <f t="shared" si="7"/>
        <v>0.9375</v>
      </c>
      <c r="U416" s="20">
        <f>IF(B416="","",MIN(Q416/Targets!$B$2,1)*Targets!$D$2+MIN(G416/100/Targets!$B$3,1)*Targets!$D$3+MIN(T416/Targets!$B$4,1)*Targets!$D$4+MIN(R416/Targets!$B$5,1)*Targets!$D$5+MIN(N416/Targets!$B$6,1)*Targets!$D$6+MIN(Targets!$B$7/MAX(S416,0.0001),1)*Targets!$D$7)</f>
        <v>0.6939793282</v>
      </c>
    </row>
    <row r="417">
      <c r="A417" s="18">
        <v>46244.0</v>
      </c>
      <c r="B417" s="19" t="s">
        <v>123</v>
      </c>
      <c r="C417" s="19" t="s">
        <v>171</v>
      </c>
      <c r="D417" s="19" t="s">
        <v>121</v>
      </c>
      <c r="E417" s="14">
        <f t="shared" si="1"/>
        <v>11</v>
      </c>
      <c r="F417" s="19">
        <f t="shared" si="2"/>
        <v>6</v>
      </c>
      <c r="G417" s="20">
        <f t="shared" si="3"/>
        <v>0.5454545455</v>
      </c>
      <c r="H417" s="19">
        <v>37.0</v>
      </c>
      <c r="I417" s="19">
        <v>39.0</v>
      </c>
      <c r="J417" s="19">
        <v>1.0</v>
      </c>
      <c r="K417" s="19">
        <v>3.1</v>
      </c>
      <c r="L417" s="19">
        <v>46.0</v>
      </c>
      <c r="M417" s="19">
        <v>49.0</v>
      </c>
      <c r="N417" s="19">
        <v>6.9</v>
      </c>
      <c r="O417" s="19" t="s">
        <v>143</v>
      </c>
      <c r="P417" s="19" t="s">
        <v>187</v>
      </c>
      <c r="Q417" s="20">
        <f t="shared" si="4"/>
        <v>0.5454545455</v>
      </c>
      <c r="R417" s="20">
        <f t="shared" si="5"/>
        <v>0.9487179487</v>
      </c>
      <c r="S417" s="20">
        <f t="shared" si="6"/>
        <v>0.02564102564</v>
      </c>
      <c r="T417" s="20">
        <f t="shared" si="7"/>
        <v>0.9387755102</v>
      </c>
      <c r="U417" s="20">
        <f>IF(B417="","",MIN(Q417/Targets!$B$2,1)*Targets!$D$2+MIN(G417/100/Targets!$B$3,1)*Targets!$D$3+MIN(T417/Targets!$B$4,1)*Targets!$D$4+MIN(R417/Targets!$B$5,1)*Targets!$D$5+MIN(N417/Targets!$B$6,1)*Targets!$D$6+MIN(Targets!$B$7/MAX(S417,0.0001),1)*Targets!$D$7)</f>
        <v>0.6213993025</v>
      </c>
    </row>
    <row r="418">
      <c r="A418" s="18">
        <v>46244.0</v>
      </c>
      <c r="B418" s="19" t="s">
        <v>126</v>
      </c>
      <c r="C418" s="19" t="s">
        <v>179</v>
      </c>
      <c r="D418" s="19" t="s">
        <v>121</v>
      </c>
      <c r="E418" s="14">
        <f t="shared" si="1"/>
        <v>16</v>
      </c>
      <c r="F418" s="19">
        <f t="shared" si="2"/>
        <v>15</v>
      </c>
      <c r="G418" s="20">
        <f t="shared" si="3"/>
        <v>0.9375</v>
      </c>
      <c r="H418" s="19">
        <v>20.0</v>
      </c>
      <c r="I418" s="19">
        <v>24.0</v>
      </c>
      <c r="J418" s="19">
        <v>2.0</v>
      </c>
      <c r="K418" s="19">
        <v>5.3</v>
      </c>
      <c r="L418" s="19">
        <v>32.0</v>
      </c>
      <c r="M418" s="19">
        <v>45.0</v>
      </c>
      <c r="N418" s="19">
        <v>5.8</v>
      </c>
      <c r="O418" s="19" t="s">
        <v>143</v>
      </c>
      <c r="P418" s="19" t="s">
        <v>178</v>
      </c>
      <c r="Q418" s="20">
        <f t="shared" si="4"/>
        <v>0.9375</v>
      </c>
      <c r="R418" s="20">
        <f t="shared" si="5"/>
        <v>0.8333333333</v>
      </c>
      <c r="S418" s="20">
        <f t="shared" si="6"/>
        <v>0.08333333333</v>
      </c>
      <c r="T418" s="20">
        <f t="shared" si="7"/>
        <v>0.7111111111</v>
      </c>
      <c r="U418" s="20">
        <f>IF(B418="","",MIN(Q418/Targets!$B$2,1)*Targets!$D$2+MIN(G418/100/Targets!$B$3,1)*Targets!$D$3+MIN(T418/Targets!$B$4,1)*Targets!$D$4+MIN(R418/Targets!$B$5,1)*Targets!$D$5+MIN(N418/Targets!$B$6,1)*Targets!$D$6+MIN(Targets!$B$7/MAX(S418,0.0001),1)*Targets!$D$7)</f>
        <v>0.5960796087</v>
      </c>
    </row>
    <row r="419">
      <c r="A419" s="18">
        <v>46244.0</v>
      </c>
      <c r="B419" s="19" t="s">
        <v>129</v>
      </c>
      <c r="C419" s="19" t="s">
        <v>188</v>
      </c>
      <c r="D419" s="19" t="s">
        <v>121</v>
      </c>
      <c r="E419" s="14">
        <f t="shared" si="1"/>
        <v>6</v>
      </c>
      <c r="F419" s="19">
        <f t="shared" si="2"/>
        <v>15</v>
      </c>
      <c r="G419" s="20">
        <f t="shared" si="3"/>
        <v>2.5</v>
      </c>
      <c r="H419" s="19">
        <v>39.0</v>
      </c>
      <c r="I419" s="19">
        <v>42.0</v>
      </c>
      <c r="J419" s="19">
        <v>3.0</v>
      </c>
      <c r="K419" s="19">
        <v>3.9</v>
      </c>
      <c r="L419" s="19">
        <v>46.0</v>
      </c>
      <c r="M419" s="19">
        <v>48.0</v>
      </c>
      <c r="N419" s="19">
        <v>7.2</v>
      </c>
      <c r="O419" s="19" t="s">
        <v>143</v>
      </c>
      <c r="P419" s="19" t="s">
        <v>189</v>
      </c>
      <c r="Q419" s="20">
        <f t="shared" si="4"/>
        <v>2.5</v>
      </c>
      <c r="R419" s="20">
        <f t="shared" si="5"/>
        <v>0.9285714286</v>
      </c>
      <c r="S419" s="20">
        <f t="shared" si="6"/>
        <v>0.07142857143</v>
      </c>
      <c r="T419" s="20">
        <f t="shared" si="7"/>
        <v>0.9583333333</v>
      </c>
      <c r="U419" s="20">
        <f>IF(B419="","",MIN(Q419/Targets!$B$2,1)*Targets!$D$2+MIN(G419/100/Targets!$B$3,1)*Targets!$D$3+MIN(T419/Targets!$B$4,1)*Targets!$D$4+MIN(R419/Targets!$B$5,1)*Targets!$D$5+MIN(N419/Targets!$B$6,1)*Targets!$D$6+MIN(Targets!$B$7/MAX(S419,0.0001),1)*Targets!$D$7)</f>
        <v>0.6749498747</v>
      </c>
    </row>
    <row r="420">
      <c r="A420" s="18">
        <v>46244.0</v>
      </c>
      <c r="B420" s="19" t="s">
        <v>132</v>
      </c>
      <c r="C420" s="19" t="s">
        <v>190</v>
      </c>
      <c r="D420" s="19" t="s">
        <v>121</v>
      </c>
      <c r="E420" s="14">
        <f t="shared" si="1"/>
        <v>15</v>
      </c>
      <c r="F420" s="19">
        <f t="shared" si="2"/>
        <v>10</v>
      </c>
      <c r="G420" s="20">
        <f t="shared" si="3"/>
        <v>0.6666666667</v>
      </c>
      <c r="H420" s="19">
        <v>32.0</v>
      </c>
      <c r="I420" s="19">
        <v>36.0</v>
      </c>
      <c r="J420" s="19">
        <v>0.0</v>
      </c>
      <c r="K420" s="19">
        <v>4.3</v>
      </c>
      <c r="L420" s="19">
        <v>45.0</v>
      </c>
      <c r="M420" s="19">
        <v>55.0</v>
      </c>
      <c r="N420" s="19">
        <v>7.7</v>
      </c>
      <c r="O420" s="19" t="s">
        <v>143</v>
      </c>
      <c r="P420" s="19" t="s">
        <v>186</v>
      </c>
      <c r="Q420" s="20">
        <f t="shared" si="4"/>
        <v>0.6666666667</v>
      </c>
      <c r="R420" s="20">
        <f t="shared" si="5"/>
        <v>0.8888888889</v>
      </c>
      <c r="S420" s="20">
        <f t="shared" si="6"/>
        <v>0</v>
      </c>
      <c r="T420" s="20">
        <f t="shared" si="7"/>
        <v>0.8181818182</v>
      </c>
      <c r="U420" s="20">
        <f>IF(B420="","",MIN(Q420/Targets!$B$2,1)*Targets!$D$2+MIN(G420/100/Targets!$B$3,1)*Targets!$D$3+MIN(T420/Targets!$B$4,1)*Targets!$D$4+MIN(R420/Targets!$B$5,1)*Targets!$D$5+MIN(N420/Targets!$B$6,1)*Targets!$D$6+MIN(Targets!$B$7/MAX(S420,0.0001),1)*Targets!$D$7)</f>
        <v>0.6270848839</v>
      </c>
    </row>
    <row r="421">
      <c r="A421" s="18">
        <v>46244.0</v>
      </c>
      <c r="B421" s="19" t="s">
        <v>135</v>
      </c>
      <c r="C421" s="19" t="s">
        <v>169</v>
      </c>
      <c r="D421" s="19" t="s">
        <v>121</v>
      </c>
      <c r="E421" s="14">
        <f t="shared" si="1"/>
        <v>6</v>
      </c>
      <c r="F421" s="19">
        <f t="shared" si="2"/>
        <v>12</v>
      </c>
      <c r="G421" s="20">
        <f t="shared" si="3"/>
        <v>2</v>
      </c>
      <c r="H421" s="19">
        <v>30.0</v>
      </c>
      <c r="I421" s="19">
        <v>32.0</v>
      </c>
      <c r="J421" s="19">
        <v>1.0</v>
      </c>
      <c r="K421" s="19">
        <v>4.0</v>
      </c>
      <c r="L421" s="19">
        <v>38.0</v>
      </c>
      <c r="M421" s="19">
        <v>42.0</v>
      </c>
      <c r="N421" s="19">
        <v>7.0</v>
      </c>
      <c r="O421" s="19" t="s">
        <v>143</v>
      </c>
      <c r="P421" s="19" t="s">
        <v>187</v>
      </c>
      <c r="Q421" s="20">
        <f t="shared" si="4"/>
        <v>2</v>
      </c>
      <c r="R421" s="20">
        <f t="shared" si="5"/>
        <v>0.9375</v>
      </c>
      <c r="S421" s="20">
        <f t="shared" si="6"/>
        <v>0.03125</v>
      </c>
      <c r="T421" s="20">
        <f t="shared" si="7"/>
        <v>0.9047619048</v>
      </c>
      <c r="U421" s="20">
        <f>IF(B421="","",MIN(Q421/Targets!$B$2,1)*Targets!$D$2+MIN(G421/100/Targets!$B$3,1)*Targets!$D$3+MIN(T421/Targets!$B$4,1)*Targets!$D$4+MIN(R421/Targets!$B$5,1)*Targets!$D$5+MIN(N421/Targets!$B$6,1)*Targets!$D$6+MIN(Targets!$B$7/MAX(S421,0.0001),1)*Targets!$D$7)</f>
        <v>0.7046929825</v>
      </c>
    </row>
    <row r="422">
      <c r="A422" s="18">
        <v>46245.0</v>
      </c>
      <c r="B422" s="19" t="s">
        <v>10</v>
      </c>
      <c r="C422" s="19" t="s">
        <v>14</v>
      </c>
      <c r="D422" s="19" t="s">
        <v>121</v>
      </c>
      <c r="E422" s="14">
        <f t="shared" si="1"/>
        <v>13</v>
      </c>
      <c r="F422" s="19">
        <f t="shared" si="2"/>
        <v>8</v>
      </c>
      <c r="G422" s="20">
        <f t="shared" si="3"/>
        <v>0.6153846154</v>
      </c>
      <c r="H422" s="19">
        <v>30.0</v>
      </c>
      <c r="I422" s="19">
        <v>33.0</v>
      </c>
      <c r="J422" s="19">
        <v>1.0</v>
      </c>
      <c r="K422" s="19">
        <v>4.1</v>
      </c>
      <c r="L422" s="19">
        <v>34.0</v>
      </c>
      <c r="M422" s="19">
        <v>40.0</v>
      </c>
      <c r="N422" s="19">
        <v>7.6</v>
      </c>
      <c r="O422" s="19" t="s">
        <v>143</v>
      </c>
      <c r="P422" s="19" t="s">
        <v>168</v>
      </c>
      <c r="Q422" s="20">
        <f t="shared" si="4"/>
        <v>0.6153846154</v>
      </c>
      <c r="R422" s="20">
        <f t="shared" si="5"/>
        <v>0.9090909091</v>
      </c>
      <c r="S422" s="20">
        <f t="shared" si="6"/>
        <v>0.0303030303</v>
      </c>
      <c r="T422" s="20">
        <f t="shared" si="7"/>
        <v>0.85</v>
      </c>
      <c r="U422" s="20">
        <f>IF(B422="","",MIN(Q422/Targets!$B$2,1)*Targets!$D$2+MIN(G422/100/Targets!$B$3,1)*Targets!$D$3+MIN(T422/Targets!$B$4,1)*Targets!$D$4+MIN(R422/Targets!$B$5,1)*Targets!$D$5+MIN(N422/Targets!$B$6,1)*Targets!$D$6+MIN(Targets!$B$7/MAX(S422,0.0001),1)*Targets!$D$7)</f>
        <v>0.6240107553</v>
      </c>
    </row>
    <row r="423">
      <c r="A423" s="18">
        <v>46245.0</v>
      </c>
      <c r="B423" s="19" t="s">
        <v>25</v>
      </c>
      <c r="C423" s="19" t="s">
        <v>167</v>
      </c>
      <c r="D423" s="19" t="s">
        <v>121</v>
      </c>
      <c r="E423" s="14">
        <f t="shared" si="1"/>
        <v>9</v>
      </c>
      <c r="F423" s="19">
        <f t="shared" si="2"/>
        <v>9</v>
      </c>
      <c r="G423" s="20">
        <f t="shared" si="3"/>
        <v>1</v>
      </c>
      <c r="H423" s="19">
        <v>53.0</v>
      </c>
      <c r="I423" s="19">
        <v>55.0</v>
      </c>
      <c r="J423" s="19">
        <v>4.0</v>
      </c>
      <c r="K423" s="19">
        <v>1.6</v>
      </c>
      <c r="L423" s="19">
        <v>61.0</v>
      </c>
      <c r="M423" s="19">
        <v>64.0</v>
      </c>
      <c r="N423" s="19">
        <v>7.9</v>
      </c>
      <c r="O423" s="19" t="s">
        <v>143</v>
      </c>
      <c r="P423" s="19" t="s">
        <v>189</v>
      </c>
      <c r="Q423" s="20">
        <f t="shared" si="4"/>
        <v>1</v>
      </c>
      <c r="R423" s="20">
        <f t="shared" si="5"/>
        <v>0.9636363636</v>
      </c>
      <c r="S423" s="20">
        <f t="shared" si="6"/>
        <v>0.07272727273</v>
      </c>
      <c r="T423" s="20">
        <f t="shared" si="7"/>
        <v>0.953125</v>
      </c>
      <c r="U423" s="20">
        <f>IF(B423="","",MIN(Q423/Targets!$B$2,1)*Targets!$D$2+MIN(G423/100/Targets!$B$3,1)*Targets!$D$3+MIN(T423/Targets!$B$4,1)*Targets!$D$4+MIN(R423/Targets!$B$5,1)*Targets!$D$5+MIN(N423/Targets!$B$6,1)*Targets!$D$6+MIN(Targets!$B$7/MAX(S423,0.0001),1)*Targets!$D$7)</f>
        <v>0.6720833333</v>
      </c>
    </row>
    <row r="424">
      <c r="A424" s="18">
        <v>46245.0</v>
      </c>
      <c r="B424" s="19" t="s">
        <v>37</v>
      </c>
      <c r="C424" s="19" t="s">
        <v>169</v>
      </c>
      <c r="D424" s="19" t="s">
        <v>121</v>
      </c>
      <c r="E424" s="14">
        <f t="shared" si="1"/>
        <v>15</v>
      </c>
      <c r="F424" s="19">
        <f t="shared" si="2"/>
        <v>10</v>
      </c>
      <c r="G424" s="20">
        <f t="shared" si="3"/>
        <v>0.6666666667</v>
      </c>
      <c r="H424" s="19">
        <v>36.0</v>
      </c>
      <c r="I424" s="19">
        <v>40.0</v>
      </c>
      <c r="J424" s="19">
        <v>1.0</v>
      </c>
      <c r="K424" s="19">
        <v>4.4</v>
      </c>
      <c r="L424" s="19">
        <v>49.0</v>
      </c>
      <c r="M424" s="19">
        <v>53.0</v>
      </c>
      <c r="N424" s="19">
        <v>7.0</v>
      </c>
      <c r="O424" s="19" t="s">
        <v>143</v>
      </c>
      <c r="P424" s="19" t="s">
        <v>189</v>
      </c>
      <c r="Q424" s="20">
        <f t="shared" si="4"/>
        <v>0.6666666667</v>
      </c>
      <c r="R424" s="20">
        <f t="shared" si="5"/>
        <v>0.9</v>
      </c>
      <c r="S424" s="20">
        <f t="shared" si="6"/>
        <v>0.025</v>
      </c>
      <c r="T424" s="20">
        <f t="shared" si="7"/>
        <v>0.9245283019</v>
      </c>
      <c r="U424" s="20">
        <f>IF(B424="","",MIN(Q424/Targets!$B$2,1)*Targets!$D$2+MIN(G424/100/Targets!$B$3,1)*Targets!$D$3+MIN(T424/Targets!$B$4,1)*Targets!$D$4+MIN(R424/Targets!$B$5,1)*Targets!$D$5+MIN(N424/Targets!$B$6,1)*Targets!$D$6+MIN(Targets!$B$7/MAX(S424,0.0001),1)*Targets!$D$7)</f>
        <v>0.6424756335</v>
      </c>
    </row>
    <row r="425">
      <c r="A425" s="18">
        <v>46245.0</v>
      </c>
      <c r="B425" s="19" t="s">
        <v>42</v>
      </c>
      <c r="C425" s="19" t="s">
        <v>171</v>
      </c>
      <c r="D425" s="19" t="s">
        <v>121</v>
      </c>
      <c r="E425" s="14">
        <f t="shared" si="1"/>
        <v>15</v>
      </c>
      <c r="F425" s="19">
        <f t="shared" si="2"/>
        <v>12</v>
      </c>
      <c r="G425" s="20">
        <f t="shared" si="3"/>
        <v>0.8</v>
      </c>
      <c r="H425" s="19">
        <v>48.0</v>
      </c>
      <c r="I425" s="19">
        <v>49.0</v>
      </c>
      <c r="J425" s="19">
        <v>2.0</v>
      </c>
      <c r="K425" s="19">
        <v>1.6</v>
      </c>
      <c r="L425" s="19">
        <v>60.0</v>
      </c>
      <c r="M425" s="19">
        <v>66.0</v>
      </c>
      <c r="N425" s="19">
        <v>7.9</v>
      </c>
      <c r="O425" s="19" t="s">
        <v>143</v>
      </c>
      <c r="P425" s="19" t="s">
        <v>187</v>
      </c>
      <c r="Q425" s="20">
        <f t="shared" si="4"/>
        <v>0.8</v>
      </c>
      <c r="R425" s="20">
        <f t="shared" si="5"/>
        <v>0.9795918367</v>
      </c>
      <c r="S425" s="20">
        <f t="shared" si="6"/>
        <v>0.04081632653</v>
      </c>
      <c r="T425" s="20">
        <f t="shared" si="7"/>
        <v>0.9090909091</v>
      </c>
      <c r="U425" s="20">
        <f>IF(B425="","",MIN(Q425/Targets!$B$2,1)*Targets!$D$2+MIN(G425/100/Targets!$B$3,1)*Targets!$D$3+MIN(T425/Targets!$B$4,1)*Targets!$D$4+MIN(R425/Targets!$B$5,1)*Targets!$D$5+MIN(N425/Targets!$B$6,1)*Targets!$D$6+MIN(Targets!$B$7/MAX(S425,0.0001),1)*Targets!$D$7)</f>
        <v>0.6804444444</v>
      </c>
    </row>
    <row r="426">
      <c r="A426" s="18">
        <v>46245.0</v>
      </c>
      <c r="B426" s="19" t="s">
        <v>46</v>
      </c>
      <c r="C426" s="19" t="s">
        <v>179</v>
      </c>
      <c r="D426" s="19" t="s">
        <v>121</v>
      </c>
      <c r="E426" s="14">
        <f t="shared" si="1"/>
        <v>12</v>
      </c>
      <c r="F426" s="19">
        <f t="shared" si="2"/>
        <v>6</v>
      </c>
      <c r="G426" s="20">
        <f t="shared" si="3"/>
        <v>0.5</v>
      </c>
      <c r="H426" s="19">
        <v>40.0</v>
      </c>
      <c r="I426" s="19">
        <v>42.0</v>
      </c>
      <c r="J426" s="19">
        <v>2.0</v>
      </c>
      <c r="K426" s="19">
        <v>4.4</v>
      </c>
      <c r="L426" s="19">
        <v>44.0</v>
      </c>
      <c r="M426" s="19">
        <v>47.0</v>
      </c>
      <c r="N426" s="19">
        <v>7.7</v>
      </c>
      <c r="O426" s="19" t="s">
        <v>143</v>
      </c>
      <c r="P426" s="19" t="s">
        <v>189</v>
      </c>
      <c r="Q426" s="20">
        <f t="shared" si="4"/>
        <v>0.5</v>
      </c>
      <c r="R426" s="20">
        <f t="shared" si="5"/>
        <v>0.9523809524</v>
      </c>
      <c r="S426" s="20">
        <f t="shared" si="6"/>
        <v>0.04761904762</v>
      </c>
      <c r="T426" s="20">
        <f t="shared" si="7"/>
        <v>0.9361702128</v>
      </c>
      <c r="U426" s="20">
        <f>IF(B426="","",MIN(Q426/Targets!$B$2,1)*Targets!$D$2+MIN(G426/100/Targets!$B$3,1)*Targets!$D$3+MIN(T426/Targets!$B$4,1)*Targets!$D$4+MIN(R426/Targets!$B$5,1)*Targets!$D$5+MIN(N426/Targets!$B$6,1)*Targets!$D$6+MIN(Targets!$B$7/MAX(S426,0.0001),1)*Targets!$D$7)</f>
        <v>0.6127777778</v>
      </c>
    </row>
    <row r="427">
      <c r="A427" s="18">
        <v>46245.0</v>
      </c>
      <c r="B427" s="19" t="s">
        <v>53</v>
      </c>
      <c r="C427" s="19" t="s">
        <v>14</v>
      </c>
      <c r="D427" s="19" t="s">
        <v>121</v>
      </c>
      <c r="E427" s="14">
        <f t="shared" si="1"/>
        <v>16</v>
      </c>
      <c r="F427" s="19">
        <f t="shared" si="2"/>
        <v>6</v>
      </c>
      <c r="G427" s="20">
        <f t="shared" si="3"/>
        <v>0.375</v>
      </c>
      <c r="H427" s="19">
        <v>27.0</v>
      </c>
      <c r="I427" s="19">
        <v>31.0</v>
      </c>
      <c r="J427" s="19">
        <v>1.0</v>
      </c>
      <c r="K427" s="19">
        <v>4.9</v>
      </c>
      <c r="L427" s="19">
        <v>32.0</v>
      </c>
      <c r="M427" s="19">
        <v>39.0</v>
      </c>
      <c r="N427" s="19">
        <v>5.4</v>
      </c>
      <c r="O427" s="19" t="s">
        <v>143</v>
      </c>
      <c r="P427" s="19" t="s">
        <v>186</v>
      </c>
      <c r="Q427" s="20">
        <f t="shared" si="4"/>
        <v>0.375</v>
      </c>
      <c r="R427" s="20">
        <f t="shared" si="5"/>
        <v>0.8709677419</v>
      </c>
      <c r="S427" s="20">
        <f t="shared" si="6"/>
        <v>0.03225806452</v>
      </c>
      <c r="T427" s="20">
        <f t="shared" si="7"/>
        <v>0.8205128205</v>
      </c>
      <c r="U427" s="20">
        <f>IF(B427="","",MIN(Q427/Targets!$B$2,1)*Targets!$D$2+MIN(G427/100/Targets!$B$3,1)*Targets!$D$3+MIN(T427/Targets!$B$4,1)*Targets!$D$4+MIN(R427/Targets!$B$5,1)*Targets!$D$5+MIN(N427/Targets!$B$6,1)*Targets!$D$6+MIN(Targets!$B$7/MAX(S427,0.0001),1)*Targets!$D$7)</f>
        <v>0.5359995496</v>
      </c>
    </row>
    <row r="428">
      <c r="A428" s="18">
        <v>46245.0</v>
      </c>
      <c r="B428" s="19" t="s">
        <v>65</v>
      </c>
      <c r="C428" s="19" t="s">
        <v>167</v>
      </c>
      <c r="D428" s="19" t="s">
        <v>121</v>
      </c>
      <c r="E428" s="14">
        <f t="shared" si="1"/>
        <v>6</v>
      </c>
      <c r="F428" s="19">
        <f t="shared" si="2"/>
        <v>12</v>
      </c>
      <c r="G428" s="20">
        <f t="shared" si="3"/>
        <v>2</v>
      </c>
      <c r="H428" s="19">
        <v>24.0</v>
      </c>
      <c r="I428" s="19">
        <v>29.0</v>
      </c>
      <c r="J428" s="19">
        <v>1.0</v>
      </c>
      <c r="K428" s="19">
        <v>6.5</v>
      </c>
      <c r="L428" s="19">
        <v>35.0</v>
      </c>
      <c r="M428" s="19">
        <v>46.0</v>
      </c>
      <c r="N428" s="19">
        <v>7.1</v>
      </c>
      <c r="O428" s="19" t="s">
        <v>143</v>
      </c>
      <c r="P428" s="19" t="s">
        <v>189</v>
      </c>
      <c r="Q428" s="20">
        <f t="shared" si="4"/>
        <v>2</v>
      </c>
      <c r="R428" s="20">
        <f t="shared" si="5"/>
        <v>0.8275862069</v>
      </c>
      <c r="S428" s="20">
        <f t="shared" si="6"/>
        <v>0.03448275862</v>
      </c>
      <c r="T428" s="20">
        <f t="shared" si="7"/>
        <v>0.7608695652</v>
      </c>
      <c r="U428" s="20">
        <f>IF(B428="","",MIN(Q428/Targets!$B$2,1)*Targets!$D$2+MIN(G428/100/Targets!$B$3,1)*Targets!$D$3+MIN(T428/Targets!$B$4,1)*Targets!$D$4+MIN(R428/Targets!$B$5,1)*Targets!$D$5+MIN(N428/Targets!$B$6,1)*Targets!$D$6+MIN(Targets!$B$7/MAX(S428,0.0001),1)*Targets!$D$7)</f>
        <v>0.6641497672</v>
      </c>
    </row>
    <row r="429">
      <c r="A429" s="18">
        <v>46245.0</v>
      </c>
      <c r="B429" s="19" t="s">
        <v>73</v>
      </c>
      <c r="C429" s="19" t="s">
        <v>169</v>
      </c>
      <c r="D429" s="19" t="s">
        <v>121</v>
      </c>
      <c r="E429" s="14">
        <f t="shared" si="1"/>
        <v>6</v>
      </c>
      <c r="F429" s="19">
        <f t="shared" si="2"/>
        <v>9</v>
      </c>
      <c r="G429" s="20">
        <f t="shared" si="3"/>
        <v>1.5</v>
      </c>
      <c r="H429" s="19">
        <v>43.0</v>
      </c>
      <c r="I429" s="19">
        <v>45.0</v>
      </c>
      <c r="J429" s="19">
        <v>3.0</v>
      </c>
      <c r="K429" s="19">
        <v>2.5</v>
      </c>
      <c r="L429" s="19">
        <v>61.0</v>
      </c>
      <c r="M429" s="19">
        <v>64.0</v>
      </c>
      <c r="N429" s="19">
        <v>7.7</v>
      </c>
      <c r="O429" s="19" t="s">
        <v>143</v>
      </c>
      <c r="P429" s="19" t="s">
        <v>178</v>
      </c>
      <c r="Q429" s="20">
        <f t="shared" si="4"/>
        <v>1.5</v>
      </c>
      <c r="R429" s="20">
        <f t="shared" si="5"/>
        <v>0.9555555556</v>
      </c>
      <c r="S429" s="20">
        <f t="shared" si="6"/>
        <v>0.06666666667</v>
      </c>
      <c r="T429" s="20">
        <f t="shared" si="7"/>
        <v>0.953125</v>
      </c>
      <c r="U429" s="20">
        <f>IF(B429="","",MIN(Q429/Targets!$B$2,1)*Targets!$D$2+MIN(G429/100/Targets!$B$3,1)*Targets!$D$3+MIN(T429/Targets!$B$4,1)*Targets!$D$4+MIN(R429/Targets!$B$5,1)*Targets!$D$5+MIN(N429/Targets!$B$6,1)*Targets!$D$6+MIN(Targets!$B$7/MAX(S429,0.0001),1)*Targets!$D$7)</f>
        <v>0.68</v>
      </c>
    </row>
    <row r="430">
      <c r="A430" s="18">
        <v>46245.0</v>
      </c>
      <c r="B430" s="19" t="s">
        <v>78</v>
      </c>
      <c r="C430" s="19" t="s">
        <v>171</v>
      </c>
      <c r="D430" s="19" t="s">
        <v>121</v>
      </c>
      <c r="E430" s="14">
        <f t="shared" si="1"/>
        <v>8</v>
      </c>
      <c r="F430" s="19">
        <f t="shared" si="2"/>
        <v>10</v>
      </c>
      <c r="G430" s="20">
        <f t="shared" si="3"/>
        <v>1.25</v>
      </c>
      <c r="H430" s="19">
        <v>37.0</v>
      </c>
      <c r="I430" s="19">
        <v>41.0</v>
      </c>
      <c r="J430" s="19">
        <v>2.0</v>
      </c>
      <c r="K430" s="19">
        <v>3.6</v>
      </c>
      <c r="L430" s="19">
        <v>49.0</v>
      </c>
      <c r="M430" s="19">
        <v>56.0</v>
      </c>
      <c r="N430" s="19">
        <v>7.8</v>
      </c>
      <c r="O430" s="19" t="s">
        <v>143</v>
      </c>
      <c r="P430" s="19" t="s">
        <v>191</v>
      </c>
      <c r="Q430" s="20">
        <f t="shared" si="4"/>
        <v>1.25</v>
      </c>
      <c r="R430" s="20">
        <f t="shared" si="5"/>
        <v>0.9024390244</v>
      </c>
      <c r="S430" s="20">
        <f t="shared" si="6"/>
        <v>0.0487804878</v>
      </c>
      <c r="T430" s="20">
        <f t="shared" si="7"/>
        <v>0.875</v>
      </c>
      <c r="U430" s="20">
        <f>IF(B430="","",MIN(Q430/Targets!$B$2,1)*Targets!$D$2+MIN(G430/100/Targets!$B$3,1)*Targets!$D$3+MIN(T430/Targets!$B$4,1)*Targets!$D$4+MIN(R430/Targets!$B$5,1)*Targets!$D$5+MIN(N430/Targets!$B$6,1)*Targets!$D$6+MIN(Targets!$B$7/MAX(S430,0.0001),1)*Targets!$D$7)</f>
        <v>0.6924903723</v>
      </c>
    </row>
    <row r="431">
      <c r="A431" s="18">
        <v>46245.0</v>
      </c>
      <c r="B431" s="19" t="s">
        <v>84</v>
      </c>
      <c r="C431" s="19" t="s">
        <v>179</v>
      </c>
      <c r="D431" s="19" t="s">
        <v>121</v>
      </c>
      <c r="E431" s="14">
        <f t="shared" si="1"/>
        <v>11</v>
      </c>
      <c r="F431" s="19">
        <f t="shared" si="2"/>
        <v>6</v>
      </c>
      <c r="G431" s="20">
        <f t="shared" si="3"/>
        <v>0.5454545455</v>
      </c>
      <c r="H431" s="19">
        <v>22.0</v>
      </c>
      <c r="I431" s="19">
        <v>28.0</v>
      </c>
      <c r="J431" s="19">
        <v>1.0</v>
      </c>
      <c r="K431" s="19">
        <v>5.2</v>
      </c>
      <c r="L431" s="19">
        <v>17.0</v>
      </c>
      <c r="M431" s="19">
        <v>23.0</v>
      </c>
      <c r="N431" s="19">
        <v>3.6</v>
      </c>
      <c r="O431" s="19" t="s">
        <v>200</v>
      </c>
      <c r="P431" s="19" t="s">
        <v>187</v>
      </c>
      <c r="Q431" s="20">
        <f t="shared" si="4"/>
        <v>0.5454545455</v>
      </c>
      <c r="R431" s="20">
        <f t="shared" si="5"/>
        <v>0.7857142857</v>
      </c>
      <c r="S431" s="20">
        <f t="shared" si="6"/>
        <v>0.03571428571</v>
      </c>
      <c r="T431" s="20">
        <f t="shared" si="7"/>
        <v>0.7391304348</v>
      </c>
      <c r="U431" s="20">
        <f>IF(B431="","",MIN(Q431/Targets!$B$2,1)*Targets!$D$2+MIN(G431/100/Targets!$B$3,1)*Targets!$D$3+MIN(T431/Targets!$B$4,1)*Targets!$D$4+MIN(R431/Targets!$B$5,1)*Targets!$D$5+MIN(N431/Targets!$B$6,1)*Targets!$D$6+MIN(Targets!$B$7/MAX(S431,0.0001),1)*Targets!$D$7)</f>
        <v>0.5217074306</v>
      </c>
    </row>
    <row r="432">
      <c r="A432" s="18">
        <v>46245.0</v>
      </c>
      <c r="B432" s="19" t="s">
        <v>91</v>
      </c>
      <c r="C432" s="19" t="s">
        <v>188</v>
      </c>
      <c r="D432" s="19" t="s">
        <v>121</v>
      </c>
      <c r="E432" s="14">
        <f t="shared" si="1"/>
        <v>6</v>
      </c>
      <c r="F432" s="19">
        <f t="shared" si="2"/>
        <v>15</v>
      </c>
      <c r="G432" s="20">
        <f t="shared" si="3"/>
        <v>2.5</v>
      </c>
      <c r="H432" s="19">
        <v>39.0</v>
      </c>
      <c r="I432" s="19">
        <v>42.0</v>
      </c>
      <c r="J432" s="19">
        <v>1.0</v>
      </c>
      <c r="K432" s="19">
        <v>4.5</v>
      </c>
      <c r="L432" s="19">
        <v>52.0</v>
      </c>
      <c r="M432" s="19">
        <v>62.0</v>
      </c>
      <c r="N432" s="19">
        <v>6.9</v>
      </c>
      <c r="O432" s="19" t="s">
        <v>143</v>
      </c>
      <c r="P432" s="19" t="s">
        <v>144</v>
      </c>
      <c r="Q432" s="20">
        <f t="shared" si="4"/>
        <v>2.5</v>
      </c>
      <c r="R432" s="20">
        <f t="shared" si="5"/>
        <v>0.9285714286</v>
      </c>
      <c r="S432" s="20">
        <f t="shared" si="6"/>
        <v>0.02380952381</v>
      </c>
      <c r="T432" s="20">
        <f t="shared" si="7"/>
        <v>0.8387096774</v>
      </c>
      <c r="U432" s="20">
        <f>IF(B432="","",MIN(Q432/Targets!$B$2,1)*Targets!$D$2+MIN(G432/100/Targets!$B$3,1)*Targets!$D$3+MIN(T432/Targets!$B$4,1)*Targets!$D$4+MIN(R432/Targets!$B$5,1)*Targets!$D$5+MIN(N432/Targets!$B$6,1)*Targets!$D$6+MIN(Targets!$B$7/MAX(S432,0.0001),1)*Targets!$D$7)</f>
        <v>0.6933062495</v>
      </c>
    </row>
    <row r="433">
      <c r="A433" s="18">
        <v>46245.0</v>
      </c>
      <c r="B433" s="19" t="s">
        <v>100</v>
      </c>
      <c r="C433" s="19" t="s">
        <v>190</v>
      </c>
      <c r="D433" s="19" t="s">
        <v>121</v>
      </c>
      <c r="E433" s="14">
        <f t="shared" si="1"/>
        <v>12</v>
      </c>
      <c r="F433" s="19">
        <f t="shared" si="2"/>
        <v>7</v>
      </c>
      <c r="G433" s="20">
        <f t="shared" si="3"/>
        <v>0.5833333333</v>
      </c>
      <c r="H433" s="19">
        <v>34.0</v>
      </c>
      <c r="I433" s="19">
        <v>38.0</v>
      </c>
      <c r="J433" s="19">
        <v>3.0</v>
      </c>
      <c r="K433" s="19">
        <v>3.0</v>
      </c>
      <c r="L433" s="19">
        <v>45.0</v>
      </c>
      <c r="M433" s="19">
        <v>52.0</v>
      </c>
      <c r="N433" s="19">
        <v>6.4</v>
      </c>
      <c r="O433" s="19" t="s">
        <v>143</v>
      </c>
      <c r="P433" s="19" t="s">
        <v>187</v>
      </c>
      <c r="Q433" s="20">
        <f t="shared" si="4"/>
        <v>0.5833333333</v>
      </c>
      <c r="R433" s="20">
        <f t="shared" si="5"/>
        <v>0.8947368421</v>
      </c>
      <c r="S433" s="20">
        <f t="shared" si="6"/>
        <v>0.07894736842</v>
      </c>
      <c r="T433" s="20">
        <f t="shared" si="7"/>
        <v>0.8653846154</v>
      </c>
      <c r="U433" s="20">
        <f>IF(B433="","",MIN(Q433/Targets!$B$2,1)*Targets!$D$2+MIN(G433/100/Targets!$B$3,1)*Targets!$D$3+MIN(T433/Targets!$B$4,1)*Targets!$D$4+MIN(R433/Targets!$B$5,1)*Targets!$D$5+MIN(N433/Targets!$B$6,1)*Targets!$D$6+MIN(Targets!$B$7/MAX(S433,0.0001),1)*Targets!$D$7)</f>
        <v>0.5718409863</v>
      </c>
    </row>
    <row r="434">
      <c r="A434" s="18">
        <v>46245.0</v>
      </c>
      <c r="B434" s="19" t="s">
        <v>109</v>
      </c>
      <c r="C434" s="19" t="s">
        <v>14</v>
      </c>
      <c r="D434" s="19" t="s">
        <v>121</v>
      </c>
      <c r="E434" s="14">
        <f t="shared" si="1"/>
        <v>7</v>
      </c>
      <c r="F434" s="19">
        <f t="shared" si="2"/>
        <v>6</v>
      </c>
      <c r="G434" s="20">
        <f t="shared" si="3"/>
        <v>0.8571428571</v>
      </c>
      <c r="H434" s="19">
        <v>41.0</v>
      </c>
      <c r="I434" s="19">
        <v>46.0</v>
      </c>
      <c r="J434" s="19">
        <v>3.0</v>
      </c>
      <c r="K434" s="19">
        <v>3.7</v>
      </c>
      <c r="L434" s="19">
        <v>29.0</v>
      </c>
      <c r="M434" s="19">
        <v>31.0</v>
      </c>
      <c r="N434" s="19">
        <v>4.1</v>
      </c>
      <c r="O434" s="19" t="s">
        <v>200</v>
      </c>
      <c r="P434" s="19" t="s">
        <v>168</v>
      </c>
      <c r="Q434" s="20">
        <f t="shared" si="4"/>
        <v>0.8571428571</v>
      </c>
      <c r="R434" s="20">
        <f t="shared" si="5"/>
        <v>0.8913043478</v>
      </c>
      <c r="S434" s="20">
        <f t="shared" si="6"/>
        <v>0.0652173913</v>
      </c>
      <c r="T434" s="20">
        <f t="shared" si="7"/>
        <v>0.935483871</v>
      </c>
      <c r="U434" s="20">
        <f>IF(B434="","",MIN(Q434/Targets!$B$2,1)*Targets!$D$2+MIN(G434/100/Targets!$B$3,1)*Targets!$D$3+MIN(T434/Targets!$B$4,1)*Targets!$D$4+MIN(R434/Targets!$B$5,1)*Targets!$D$5+MIN(N434/Targets!$B$6,1)*Targets!$D$6+MIN(Targets!$B$7/MAX(S434,0.0001),1)*Targets!$D$7)</f>
        <v>0.619303694</v>
      </c>
    </row>
    <row r="435">
      <c r="A435" s="18">
        <v>46245.0</v>
      </c>
      <c r="B435" s="19" t="s">
        <v>115</v>
      </c>
      <c r="C435" s="19" t="s">
        <v>167</v>
      </c>
      <c r="D435" s="19" t="s">
        <v>121</v>
      </c>
      <c r="E435" s="14">
        <f t="shared" si="1"/>
        <v>7</v>
      </c>
      <c r="F435" s="19">
        <f t="shared" si="2"/>
        <v>14</v>
      </c>
      <c r="G435" s="20">
        <f t="shared" si="3"/>
        <v>2</v>
      </c>
      <c r="H435" s="19">
        <v>18.0</v>
      </c>
      <c r="I435" s="19">
        <v>22.0</v>
      </c>
      <c r="J435" s="19">
        <v>1.0</v>
      </c>
      <c r="K435" s="19">
        <v>4.5</v>
      </c>
      <c r="L435" s="19">
        <v>31.0</v>
      </c>
      <c r="M435" s="19">
        <v>45.0</v>
      </c>
      <c r="N435" s="19">
        <v>7.1</v>
      </c>
      <c r="O435" s="19" t="s">
        <v>143</v>
      </c>
      <c r="P435" s="19" t="s">
        <v>187</v>
      </c>
      <c r="Q435" s="20">
        <f t="shared" si="4"/>
        <v>2</v>
      </c>
      <c r="R435" s="20">
        <f t="shared" si="5"/>
        <v>0.8181818182</v>
      </c>
      <c r="S435" s="20">
        <f t="shared" si="6"/>
        <v>0.04545454545</v>
      </c>
      <c r="T435" s="20">
        <f t="shared" si="7"/>
        <v>0.6888888889</v>
      </c>
      <c r="U435" s="20">
        <f>IF(B435="","",MIN(Q435/Targets!$B$2,1)*Targets!$D$2+MIN(G435/100/Targets!$B$3,1)*Targets!$D$3+MIN(T435/Targets!$B$4,1)*Targets!$D$4+MIN(R435/Targets!$B$5,1)*Targets!$D$5+MIN(N435/Targets!$B$6,1)*Targets!$D$6+MIN(Targets!$B$7/MAX(S435,0.0001),1)*Targets!$D$7)</f>
        <v>0.6506680844</v>
      </c>
    </row>
    <row r="436">
      <c r="A436" s="18">
        <v>46245.0</v>
      </c>
      <c r="B436" s="19" t="s">
        <v>118</v>
      </c>
      <c r="C436" s="19" t="s">
        <v>169</v>
      </c>
      <c r="D436" s="19" t="s">
        <v>121</v>
      </c>
      <c r="E436" s="14">
        <f t="shared" si="1"/>
        <v>6</v>
      </c>
      <c r="F436" s="19">
        <f t="shared" si="2"/>
        <v>6</v>
      </c>
      <c r="G436" s="20">
        <f t="shared" si="3"/>
        <v>1</v>
      </c>
      <c r="H436" s="19">
        <v>30.0</v>
      </c>
      <c r="I436" s="19">
        <v>33.0</v>
      </c>
      <c r="J436" s="19">
        <v>1.0</v>
      </c>
      <c r="K436" s="19">
        <v>3.0</v>
      </c>
      <c r="L436" s="19">
        <v>40.0</v>
      </c>
      <c r="M436" s="19">
        <v>45.0</v>
      </c>
      <c r="N436" s="19">
        <v>7.3</v>
      </c>
      <c r="O436" s="19" t="s">
        <v>143</v>
      </c>
      <c r="P436" s="19" t="s">
        <v>168</v>
      </c>
      <c r="Q436" s="20">
        <f t="shared" si="4"/>
        <v>1</v>
      </c>
      <c r="R436" s="20">
        <f t="shared" si="5"/>
        <v>0.9090909091</v>
      </c>
      <c r="S436" s="20">
        <f t="shared" si="6"/>
        <v>0.0303030303</v>
      </c>
      <c r="T436" s="20">
        <f t="shared" si="7"/>
        <v>0.8888888889</v>
      </c>
      <c r="U436" s="20">
        <f>IF(B436="","",MIN(Q436/Targets!$B$2,1)*Targets!$D$2+MIN(G436/100/Targets!$B$3,1)*Targets!$D$3+MIN(T436/Targets!$B$4,1)*Targets!$D$4+MIN(R436/Targets!$B$5,1)*Targets!$D$5+MIN(N436/Targets!$B$6,1)*Targets!$D$6+MIN(Targets!$B$7/MAX(S436,0.0001),1)*Targets!$D$7)</f>
        <v>0.6950221513</v>
      </c>
    </row>
    <row r="437">
      <c r="A437" s="18">
        <v>46245.0</v>
      </c>
      <c r="B437" s="19" t="s">
        <v>123</v>
      </c>
      <c r="C437" s="19" t="s">
        <v>171</v>
      </c>
      <c r="D437" s="19" t="s">
        <v>121</v>
      </c>
      <c r="E437" s="14">
        <f t="shared" si="1"/>
        <v>11</v>
      </c>
      <c r="F437" s="19">
        <f t="shared" si="2"/>
        <v>14</v>
      </c>
      <c r="G437" s="20">
        <f t="shared" si="3"/>
        <v>1.272727273</v>
      </c>
      <c r="H437" s="19">
        <v>33.0</v>
      </c>
      <c r="I437" s="19">
        <v>37.0</v>
      </c>
      <c r="J437" s="19">
        <v>1.0</v>
      </c>
      <c r="K437" s="19">
        <v>3.8</v>
      </c>
      <c r="L437" s="19">
        <v>42.0</v>
      </c>
      <c r="M437" s="19">
        <v>47.0</v>
      </c>
      <c r="N437" s="19">
        <v>7.2</v>
      </c>
      <c r="O437" s="19" t="s">
        <v>143</v>
      </c>
      <c r="P437" s="19" t="s">
        <v>186</v>
      </c>
      <c r="Q437" s="20">
        <f t="shared" si="4"/>
        <v>1.272727273</v>
      </c>
      <c r="R437" s="20">
        <f t="shared" si="5"/>
        <v>0.8918918919</v>
      </c>
      <c r="S437" s="20">
        <f t="shared" si="6"/>
        <v>0.02702702703</v>
      </c>
      <c r="T437" s="20">
        <f t="shared" si="7"/>
        <v>0.8936170213</v>
      </c>
      <c r="U437" s="20">
        <f>IF(B437="","",MIN(Q437/Targets!$B$2,1)*Targets!$D$2+MIN(G437/100/Targets!$B$3,1)*Targets!$D$3+MIN(T437/Targets!$B$4,1)*Targets!$D$4+MIN(R437/Targets!$B$5,1)*Targets!$D$5+MIN(N437/Targets!$B$6,1)*Targets!$D$6+MIN(Targets!$B$7/MAX(S437,0.0001),1)*Targets!$D$7)</f>
        <v>0.69400363</v>
      </c>
    </row>
    <row r="438">
      <c r="A438" s="18">
        <v>46245.0</v>
      </c>
      <c r="B438" s="19" t="s">
        <v>126</v>
      </c>
      <c r="C438" s="19" t="s">
        <v>179</v>
      </c>
      <c r="D438" s="19" t="s">
        <v>121</v>
      </c>
      <c r="E438" s="14">
        <f t="shared" si="1"/>
        <v>7</v>
      </c>
      <c r="F438" s="19">
        <f t="shared" si="2"/>
        <v>10</v>
      </c>
      <c r="G438" s="20">
        <f t="shared" si="3"/>
        <v>1.428571429</v>
      </c>
      <c r="H438" s="19">
        <v>29.0</v>
      </c>
      <c r="I438" s="19">
        <v>33.0</v>
      </c>
      <c r="J438" s="19">
        <v>1.0</v>
      </c>
      <c r="K438" s="19">
        <v>6.3</v>
      </c>
      <c r="L438" s="19">
        <v>44.0</v>
      </c>
      <c r="M438" s="19">
        <v>55.0</v>
      </c>
      <c r="N438" s="19">
        <v>7.0</v>
      </c>
      <c r="O438" s="19" t="s">
        <v>143</v>
      </c>
      <c r="P438" s="19" t="s">
        <v>186</v>
      </c>
      <c r="Q438" s="20">
        <f t="shared" si="4"/>
        <v>1.428571429</v>
      </c>
      <c r="R438" s="20">
        <f t="shared" si="5"/>
        <v>0.8787878788</v>
      </c>
      <c r="S438" s="20">
        <f t="shared" si="6"/>
        <v>0.0303030303</v>
      </c>
      <c r="T438" s="20">
        <f t="shared" si="7"/>
        <v>0.8</v>
      </c>
      <c r="U438" s="20">
        <f>IF(B438="","",MIN(Q438/Targets!$B$2,1)*Targets!$D$2+MIN(G438/100/Targets!$B$3,1)*Targets!$D$3+MIN(T438/Targets!$B$4,1)*Targets!$D$4+MIN(R438/Targets!$B$5,1)*Targets!$D$5+MIN(N438/Targets!$B$6,1)*Targets!$D$6+MIN(Targets!$B$7/MAX(S438,0.0001),1)*Targets!$D$7)</f>
        <v>0.676851219</v>
      </c>
    </row>
    <row r="439">
      <c r="A439" s="18">
        <v>46245.0</v>
      </c>
      <c r="B439" s="19" t="s">
        <v>129</v>
      </c>
      <c r="C439" s="19" t="s">
        <v>188</v>
      </c>
      <c r="D439" s="19" t="s">
        <v>121</v>
      </c>
      <c r="E439" s="14">
        <f t="shared" si="1"/>
        <v>16</v>
      </c>
      <c r="F439" s="19">
        <f t="shared" si="2"/>
        <v>7</v>
      </c>
      <c r="G439" s="20">
        <f t="shared" si="3"/>
        <v>0.4375</v>
      </c>
      <c r="H439" s="19">
        <v>48.0</v>
      </c>
      <c r="I439" s="19">
        <v>51.0</v>
      </c>
      <c r="J439" s="19">
        <v>1.0</v>
      </c>
      <c r="K439" s="19">
        <v>2.5</v>
      </c>
      <c r="L439" s="19">
        <v>62.0</v>
      </c>
      <c r="M439" s="19">
        <v>64.0</v>
      </c>
      <c r="N439" s="19">
        <v>8.3</v>
      </c>
      <c r="O439" s="19" t="s">
        <v>143</v>
      </c>
      <c r="P439" s="19" t="s">
        <v>191</v>
      </c>
      <c r="Q439" s="20">
        <f t="shared" si="4"/>
        <v>0.4375</v>
      </c>
      <c r="R439" s="20">
        <f t="shared" si="5"/>
        <v>0.9411764706</v>
      </c>
      <c r="S439" s="20">
        <f t="shared" si="6"/>
        <v>0.01960784314</v>
      </c>
      <c r="T439" s="20">
        <f t="shared" si="7"/>
        <v>0.96875</v>
      </c>
      <c r="U439" s="20">
        <f>IF(B439="","",MIN(Q439/Targets!$B$2,1)*Targets!$D$2+MIN(G439/100/Targets!$B$3,1)*Targets!$D$3+MIN(T439/Targets!$B$4,1)*Targets!$D$4+MIN(R439/Targets!$B$5,1)*Targets!$D$5+MIN(N439/Targets!$B$6,1)*Targets!$D$6+MIN(Targets!$B$7/MAX(S439,0.0001),1)*Targets!$D$7)</f>
        <v>0.5972873667</v>
      </c>
    </row>
    <row r="440">
      <c r="A440" s="18">
        <v>46245.0</v>
      </c>
      <c r="B440" s="19" t="s">
        <v>132</v>
      </c>
      <c r="C440" s="19" t="s">
        <v>190</v>
      </c>
      <c r="D440" s="19" t="s">
        <v>121</v>
      </c>
      <c r="E440" s="14">
        <f t="shared" si="1"/>
        <v>12</v>
      </c>
      <c r="F440" s="19">
        <f t="shared" si="2"/>
        <v>14</v>
      </c>
      <c r="G440" s="20">
        <f t="shared" si="3"/>
        <v>1.166666667</v>
      </c>
      <c r="H440" s="19">
        <v>38.0</v>
      </c>
      <c r="I440" s="19">
        <v>45.0</v>
      </c>
      <c r="J440" s="19">
        <v>3.0</v>
      </c>
      <c r="K440" s="19">
        <v>2.8</v>
      </c>
      <c r="L440" s="19">
        <v>50.0</v>
      </c>
      <c r="M440" s="19">
        <v>58.0</v>
      </c>
      <c r="N440" s="19">
        <v>6.6</v>
      </c>
      <c r="O440" s="19" t="s">
        <v>143</v>
      </c>
      <c r="P440" s="19" t="s">
        <v>189</v>
      </c>
      <c r="Q440" s="20">
        <f t="shared" si="4"/>
        <v>1.166666667</v>
      </c>
      <c r="R440" s="20">
        <f t="shared" si="5"/>
        <v>0.8444444444</v>
      </c>
      <c r="S440" s="20">
        <f t="shared" si="6"/>
        <v>0.06666666667</v>
      </c>
      <c r="T440" s="20">
        <f t="shared" si="7"/>
        <v>0.8620689655</v>
      </c>
      <c r="U440" s="20">
        <f>IF(B440="","",MIN(Q440/Targets!$B$2,1)*Targets!$D$2+MIN(G440/100/Targets!$B$3,1)*Targets!$D$3+MIN(T440/Targets!$B$4,1)*Targets!$D$4+MIN(R440/Targets!$B$5,1)*Targets!$D$5+MIN(N440/Targets!$B$6,1)*Targets!$D$6+MIN(Targets!$B$7/MAX(S440,0.0001),1)*Targets!$D$7)</f>
        <v>0.6501860974</v>
      </c>
    </row>
    <row r="441">
      <c r="A441" s="18">
        <v>46245.0</v>
      </c>
      <c r="B441" s="19" t="s">
        <v>135</v>
      </c>
      <c r="C441" s="19" t="s">
        <v>169</v>
      </c>
      <c r="D441" s="19" t="s">
        <v>121</v>
      </c>
      <c r="E441" s="14">
        <f t="shared" si="1"/>
        <v>15</v>
      </c>
      <c r="F441" s="19">
        <f t="shared" si="2"/>
        <v>12</v>
      </c>
      <c r="G441" s="20">
        <f t="shared" si="3"/>
        <v>0.8</v>
      </c>
      <c r="H441" s="19">
        <v>41.0</v>
      </c>
      <c r="I441" s="19">
        <v>41.0</v>
      </c>
      <c r="J441" s="19">
        <v>2.0</v>
      </c>
      <c r="K441" s="19">
        <v>2.1</v>
      </c>
      <c r="L441" s="19">
        <v>48.0</v>
      </c>
      <c r="M441" s="19">
        <v>56.0</v>
      </c>
      <c r="N441" s="19">
        <v>8.4</v>
      </c>
      <c r="O441" s="19" t="s">
        <v>143</v>
      </c>
      <c r="P441" s="19" t="s">
        <v>144</v>
      </c>
      <c r="Q441" s="20">
        <f t="shared" si="4"/>
        <v>0.8</v>
      </c>
      <c r="R441" s="20">
        <f t="shared" si="5"/>
        <v>1</v>
      </c>
      <c r="S441" s="20">
        <f t="shared" si="6"/>
        <v>0.0487804878</v>
      </c>
      <c r="T441" s="20">
        <f t="shared" si="7"/>
        <v>0.8571428571</v>
      </c>
      <c r="U441" s="20">
        <f>IF(B441="","",MIN(Q441/Targets!$B$2,1)*Targets!$D$2+MIN(G441/100/Targets!$B$3,1)*Targets!$D$3+MIN(T441/Targets!$B$4,1)*Targets!$D$4+MIN(R441/Targets!$B$5,1)*Targets!$D$5+MIN(N441/Targets!$B$6,1)*Targets!$D$6+MIN(Targets!$B$7/MAX(S441,0.0001),1)*Targets!$D$7)</f>
        <v>0.6733015873</v>
      </c>
    </row>
    <row r="442">
      <c r="A442" s="18">
        <v>46246.0</v>
      </c>
      <c r="B442" s="19" t="s">
        <v>10</v>
      </c>
      <c r="C442" s="19" t="s">
        <v>14</v>
      </c>
      <c r="D442" s="19" t="s">
        <v>121</v>
      </c>
      <c r="E442" s="14">
        <f t="shared" si="1"/>
        <v>14</v>
      </c>
      <c r="F442" s="19">
        <f t="shared" si="2"/>
        <v>12</v>
      </c>
      <c r="G442" s="20">
        <f t="shared" si="3"/>
        <v>0.8571428571</v>
      </c>
      <c r="H442" s="19">
        <v>53.0</v>
      </c>
      <c r="I442" s="19">
        <v>56.0</v>
      </c>
      <c r="J442" s="19">
        <v>3.0</v>
      </c>
      <c r="K442" s="19">
        <v>4.3</v>
      </c>
      <c r="L442" s="19">
        <v>56.0</v>
      </c>
      <c r="M442" s="19">
        <v>59.0</v>
      </c>
      <c r="N442" s="19">
        <v>6.7</v>
      </c>
      <c r="O442" s="19" t="s">
        <v>143</v>
      </c>
      <c r="P442" s="19" t="s">
        <v>178</v>
      </c>
      <c r="Q442" s="20">
        <f t="shared" si="4"/>
        <v>0.8571428571</v>
      </c>
      <c r="R442" s="20">
        <f t="shared" si="5"/>
        <v>0.9464285714</v>
      </c>
      <c r="S442" s="20">
        <f t="shared" si="6"/>
        <v>0.05357142857</v>
      </c>
      <c r="T442" s="20">
        <f t="shared" si="7"/>
        <v>0.9491525424</v>
      </c>
      <c r="U442" s="20">
        <f>IF(B442="","",MIN(Q442/Targets!$B$2,1)*Targets!$D$2+MIN(G442/100/Targets!$B$3,1)*Targets!$D$3+MIN(T442/Targets!$B$4,1)*Targets!$D$4+MIN(R442/Targets!$B$5,1)*Targets!$D$5+MIN(N442/Targets!$B$6,1)*Targets!$D$6+MIN(Targets!$B$7/MAX(S442,0.0001),1)*Targets!$D$7)</f>
        <v>0.6818170426</v>
      </c>
    </row>
    <row r="443">
      <c r="A443" s="18">
        <v>46246.0</v>
      </c>
      <c r="B443" s="19" t="s">
        <v>25</v>
      </c>
      <c r="C443" s="19" t="s">
        <v>167</v>
      </c>
      <c r="D443" s="19" t="s">
        <v>121</v>
      </c>
      <c r="E443" s="14">
        <f t="shared" si="1"/>
        <v>14</v>
      </c>
      <c r="F443" s="19">
        <f t="shared" si="2"/>
        <v>12</v>
      </c>
      <c r="G443" s="20">
        <f t="shared" si="3"/>
        <v>0.8571428571</v>
      </c>
      <c r="H443" s="19">
        <v>41.0</v>
      </c>
      <c r="I443" s="19">
        <v>44.0</v>
      </c>
      <c r="J443" s="19">
        <v>2.0</v>
      </c>
      <c r="K443" s="19">
        <v>2.8</v>
      </c>
      <c r="L443" s="19">
        <v>45.0</v>
      </c>
      <c r="M443" s="19">
        <v>51.0</v>
      </c>
      <c r="N443" s="19">
        <v>7.7</v>
      </c>
      <c r="O443" s="19" t="s">
        <v>143</v>
      </c>
      <c r="P443" s="19" t="s">
        <v>168</v>
      </c>
      <c r="Q443" s="20">
        <f t="shared" si="4"/>
        <v>0.8571428571</v>
      </c>
      <c r="R443" s="20">
        <f t="shared" si="5"/>
        <v>0.9318181818</v>
      </c>
      <c r="S443" s="20">
        <f t="shared" si="6"/>
        <v>0.04545454545</v>
      </c>
      <c r="T443" s="20">
        <f t="shared" si="7"/>
        <v>0.8823529412</v>
      </c>
      <c r="U443" s="20">
        <f>IF(B443="","",MIN(Q443/Targets!$B$2,1)*Targets!$D$2+MIN(G443/100/Targets!$B$3,1)*Targets!$D$3+MIN(T443/Targets!$B$4,1)*Targets!$D$4+MIN(R443/Targets!$B$5,1)*Targets!$D$5+MIN(N443/Targets!$B$6,1)*Targets!$D$6+MIN(Targets!$B$7/MAX(S443,0.0001),1)*Targets!$D$7)</f>
        <v>0.6875213435</v>
      </c>
    </row>
    <row r="444">
      <c r="A444" s="18">
        <v>46246.0</v>
      </c>
      <c r="B444" s="19" t="s">
        <v>37</v>
      </c>
      <c r="C444" s="19" t="s">
        <v>169</v>
      </c>
      <c r="D444" s="19" t="s">
        <v>121</v>
      </c>
      <c r="E444" s="14">
        <f t="shared" si="1"/>
        <v>8</v>
      </c>
      <c r="F444" s="19">
        <f t="shared" si="2"/>
        <v>8</v>
      </c>
      <c r="G444" s="20">
        <f t="shared" si="3"/>
        <v>1</v>
      </c>
      <c r="H444" s="19">
        <v>30.0</v>
      </c>
      <c r="I444" s="19">
        <v>38.0</v>
      </c>
      <c r="J444" s="19">
        <v>2.0</v>
      </c>
      <c r="K444" s="19">
        <v>5.5</v>
      </c>
      <c r="L444" s="19">
        <v>39.0</v>
      </c>
      <c r="M444" s="19">
        <v>45.0</v>
      </c>
      <c r="N444" s="19">
        <v>7.1</v>
      </c>
      <c r="O444" s="19" t="s">
        <v>143</v>
      </c>
      <c r="P444" s="19" t="s">
        <v>168</v>
      </c>
      <c r="Q444" s="20">
        <f t="shared" si="4"/>
        <v>1</v>
      </c>
      <c r="R444" s="20">
        <f t="shared" si="5"/>
        <v>0.7894736842</v>
      </c>
      <c r="S444" s="20">
        <f t="shared" si="6"/>
        <v>0.05263157895</v>
      </c>
      <c r="T444" s="20">
        <f t="shared" si="7"/>
        <v>0.8666666667</v>
      </c>
      <c r="U444" s="20">
        <f>IF(B444="","",MIN(Q444/Targets!$B$2,1)*Targets!$D$2+MIN(G444/100/Targets!$B$3,1)*Targets!$D$3+MIN(T444/Targets!$B$4,1)*Targets!$D$4+MIN(R444/Targets!$B$5,1)*Targets!$D$5+MIN(N444/Targets!$B$6,1)*Targets!$D$6+MIN(Targets!$B$7/MAX(S444,0.0001),1)*Targets!$D$7)</f>
        <v>0.6674315174</v>
      </c>
    </row>
    <row r="445">
      <c r="A445" s="18">
        <v>46246.0</v>
      </c>
      <c r="B445" s="19" t="s">
        <v>42</v>
      </c>
      <c r="C445" s="19" t="s">
        <v>171</v>
      </c>
      <c r="D445" s="19" t="s">
        <v>121</v>
      </c>
      <c r="E445" s="14">
        <f t="shared" si="1"/>
        <v>6</v>
      </c>
      <c r="F445" s="19">
        <f t="shared" si="2"/>
        <v>6</v>
      </c>
      <c r="G445" s="20">
        <f t="shared" si="3"/>
        <v>1</v>
      </c>
      <c r="H445" s="19">
        <v>23.0</v>
      </c>
      <c r="I445" s="19">
        <v>29.0</v>
      </c>
      <c r="J445" s="19">
        <v>2.0</v>
      </c>
      <c r="K445" s="19">
        <v>4.0</v>
      </c>
      <c r="L445" s="19">
        <v>30.0</v>
      </c>
      <c r="M445" s="19">
        <v>40.0</v>
      </c>
      <c r="N445" s="19">
        <v>6.0</v>
      </c>
      <c r="O445" s="19" t="s">
        <v>143</v>
      </c>
      <c r="P445" s="19" t="s">
        <v>186</v>
      </c>
      <c r="Q445" s="20">
        <f t="shared" si="4"/>
        <v>1</v>
      </c>
      <c r="R445" s="20">
        <f t="shared" si="5"/>
        <v>0.7931034483</v>
      </c>
      <c r="S445" s="20">
        <f t="shared" si="6"/>
        <v>0.06896551724</v>
      </c>
      <c r="T445" s="20">
        <f t="shared" si="7"/>
        <v>0.75</v>
      </c>
      <c r="U445" s="20">
        <f>IF(B445="","",MIN(Q445/Targets!$B$2,1)*Targets!$D$2+MIN(G445/100/Targets!$B$3,1)*Targets!$D$3+MIN(T445/Targets!$B$4,1)*Targets!$D$4+MIN(R445/Targets!$B$5,1)*Targets!$D$5+MIN(N445/Targets!$B$6,1)*Targets!$D$6+MIN(Targets!$B$7/MAX(S445,0.0001),1)*Targets!$D$7)</f>
        <v>0.6117744793</v>
      </c>
    </row>
    <row r="446">
      <c r="A446" s="18">
        <v>46246.0</v>
      </c>
      <c r="B446" s="19" t="s">
        <v>46</v>
      </c>
      <c r="C446" s="19" t="s">
        <v>179</v>
      </c>
      <c r="D446" s="19" t="s">
        <v>121</v>
      </c>
      <c r="E446" s="14">
        <f t="shared" si="1"/>
        <v>16</v>
      </c>
      <c r="F446" s="19">
        <f t="shared" si="2"/>
        <v>7</v>
      </c>
      <c r="G446" s="20">
        <f t="shared" si="3"/>
        <v>0.4375</v>
      </c>
      <c r="H446" s="19">
        <v>33.0</v>
      </c>
      <c r="I446" s="19">
        <v>38.0</v>
      </c>
      <c r="J446" s="19">
        <v>1.0</v>
      </c>
      <c r="K446" s="19">
        <v>4.1</v>
      </c>
      <c r="L446" s="19">
        <v>39.0</v>
      </c>
      <c r="M446" s="19">
        <v>48.0</v>
      </c>
      <c r="N446" s="19">
        <v>5.9</v>
      </c>
      <c r="O446" s="19" t="s">
        <v>143</v>
      </c>
      <c r="P446" s="19" t="s">
        <v>186</v>
      </c>
      <c r="Q446" s="20">
        <f t="shared" si="4"/>
        <v>0.4375</v>
      </c>
      <c r="R446" s="20">
        <f t="shared" si="5"/>
        <v>0.8684210526</v>
      </c>
      <c r="S446" s="20">
        <f t="shared" si="6"/>
        <v>0.02631578947</v>
      </c>
      <c r="T446" s="20">
        <f t="shared" si="7"/>
        <v>0.8125</v>
      </c>
      <c r="U446" s="20">
        <f>IF(B446="","",MIN(Q446/Targets!$B$2,1)*Targets!$D$2+MIN(G446/100/Targets!$B$3,1)*Targets!$D$3+MIN(T446/Targets!$B$4,1)*Targets!$D$4+MIN(R446/Targets!$B$5,1)*Targets!$D$5+MIN(N446/Targets!$B$6,1)*Targets!$D$6+MIN(Targets!$B$7/MAX(S446,0.0001),1)*Targets!$D$7)</f>
        <v>0.5555020501</v>
      </c>
    </row>
    <row r="447">
      <c r="A447" s="18">
        <v>46246.0</v>
      </c>
      <c r="B447" s="19" t="s">
        <v>53</v>
      </c>
      <c r="C447" s="19" t="s">
        <v>14</v>
      </c>
      <c r="D447" s="19" t="s">
        <v>121</v>
      </c>
      <c r="E447" s="14">
        <f t="shared" si="1"/>
        <v>15</v>
      </c>
      <c r="F447" s="19">
        <f t="shared" si="2"/>
        <v>9</v>
      </c>
      <c r="G447" s="20">
        <f t="shared" si="3"/>
        <v>0.6</v>
      </c>
      <c r="H447" s="19">
        <v>18.0</v>
      </c>
      <c r="I447" s="19">
        <v>23.0</v>
      </c>
      <c r="J447" s="19">
        <v>1.0</v>
      </c>
      <c r="K447" s="19">
        <v>6.0</v>
      </c>
      <c r="L447" s="19">
        <v>33.0</v>
      </c>
      <c r="M447" s="19">
        <v>45.0</v>
      </c>
      <c r="N447" s="19">
        <v>6.3</v>
      </c>
      <c r="O447" s="19" t="s">
        <v>143</v>
      </c>
      <c r="P447" s="19" t="s">
        <v>178</v>
      </c>
      <c r="Q447" s="20">
        <f t="shared" si="4"/>
        <v>0.6</v>
      </c>
      <c r="R447" s="20">
        <f t="shared" si="5"/>
        <v>0.7826086957</v>
      </c>
      <c r="S447" s="20">
        <f t="shared" si="6"/>
        <v>0.04347826087</v>
      </c>
      <c r="T447" s="20">
        <f t="shared" si="7"/>
        <v>0.7333333333</v>
      </c>
      <c r="U447" s="20">
        <f>IF(B447="","",MIN(Q447/Targets!$B$2,1)*Targets!$D$2+MIN(G447/100/Targets!$B$3,1)*Targets!$D$3+MIN(T447/Targets!$B$4,1)*Targets!$D$4+MIN(R447/Targets!$B$5,1)*Targets!$D$5+MIN(N447/Targets!$B$6,1)*Targets!$D$6+MIN(Targets!$B$7/MAX(S447,0.0001),1)*Targets!$D$7)</f>
        <v>0.5711253496</v>
      </c>
    </row>
    <row r="448">
      <c r="A448" s="18">
        <v>46246.0</v>
      </c>
      <c r="B448" s="19" t="s">
        <v>65</v>
      </c>
      <c r="C448" s="19" t="s">
        <v>167</v>
      </c>
      <c r="D448" s="19" t="s">
        <v>121</v>
      </c>
      <c r="E448" s="14">
        <f t="shared" si="1"/>
        <v>13</v>
      </c>
      <c r="F448" s="19">
        <f t="shared" si="2"/>
        <v>10</v>
      </c>
      <c r="G448" s="20">
        <f t="shared" si="3"/>
        <v>0.7692307692</v>
      </c>
      <c r="H448" s="19">
        <v>24.0</v>
      </c>
      <c r="I448" s="19">
        <v>30.0</v>
      </c>
      <c r="J448" s="19">
        <v>2.0</v>
      </c>
      <c r="K448" s="19">
        <v>5.3</v>
      </c>
      <c r="L448" s="19">
        <v>32.0</v>
      </c>
      <c r="M448" s="19">
        <v>47.0</v>
      </c>
      <c r="N448" s="19">
        <v>5.3</v>
      </c>
      <c r="O448" s="19" t="s">
        <v>143</v>
      </c>
      <c r="P448" s="19" t="s">
        <v>191</v>
      </c>
      <c r="Q448" s="20">
        <f t="shared" si="4"/>
        <v>0.7692307692</v>
      </c>
      <c r="R448" s="20">
        <f t="shared" si="5"/>
        <v>0.8</v>
      </c>
      <c r="S448" s="20">
        <f t="shared" si="6"/>
        <v>0.06666666667</v>
      </c>
      <c r="T448" s="20">
        <f t="shared" si="7"/>
        <v>0.6808510638</v>
      </c>
      <c r="U448" s="20">
        <f>IF(B448="","",MIN(Q448/Targets!$B$2,1)*Targets!$D$2+MIN(G448/100/Targets!$B$3,1)*Targets!$D$3+MIN(T448/Targets!$B$4,1)*Targets!$D$4+MIN(R448/Targets!$B$5,1)*Targets!$D$5+MIN(N448/Targets!$B$6,1)*Targets!$D$6+MIN(Targets!$B$7/MAX(S448,0.0001),1)*Targets!$D$7)</f>
        <v>0.564009526</v>
      </c>
    </row>
    <row r="449">
      <c r="A449" s="18">
        <v>46246.0</v>
      </c>
      <c r="B449" s="19" t="s">
        <v>73</v>
      </c>
      <c r="C449" s="19" t="s">
        <v>169</v>
      </c>
      <c r="D449" s="19" t="s">
        <v>121</v>
      </c>
      <c r="E449" s="14">
        <f t="shared" si="1"/>
        <v>7</v>
      </c>
      <c r="F449" s="19">
        <f t="shared" si="2"/>
        <v>8</v>
      </c>
      <c r="G449" s="20">
        <f t="shared" si="3"/>
        <v>1.142857143</v>
      </c>
      <c r="H449" s="19">
        <v>29.0</v>
      </c>
      <c r="I449" s="19">
        <v>37.0</v>
      </c>
      <c r="J449" s="19">
        <v>3.0</v>
      </c>
      <c r="K449" s="19">
        <v>4.5</v>
      </c>
      <c r="L449" s="19">
        <v>38.0</v>
      </c>
      <c r="M449" s="19">
        <v>49.0</v>
      </c>
      <c r="N449" s="19">
        <v>5.9</v>
      </c>
      <c r="O449" s="19" t="s">
        <v>143</v>
      </c>
      <c r="P449" s="19" t="s">
        <v>144</v>
      </c>
      <c r="Q449" s="20">
        <f t="shared" si="4"/>
        <v>1.142857143</v>
      </c>
      <c r="R449" s="20">
        <f t="shared" si="5"/>
        <v>0.7837837838</v>
      </c>
      <c r="S449" s="20">
        <f t="shared" si="6"/>
        <v>0.08108108108</v>
      </c>
      <c r="T449" s="20">
        <f t="shared" si="7"/>
        <v>0.7755102041</v>
      </c>
      <c r="U449" s="20">
        <f>IF(B449="","",MIN(Q449/Targets!$B$2,1)*Targets!$D$2+MIN(G449/100/Targets!$B$3,1)*Targets!$D$3+MIN(T449/Targets!$B$4,1)*Targets!$D$4+MIN(R449/Targets!$B$5,1)*Targets!$D$5+MIN(N449/Targets!$B$6,1)*Targets!$D$6+MIN(Targets!$B$7/MAX(S449,0.0001),1)*Targets!$D$7)</f>
        <v>0.6027689397</v>
      </c>
    </row>
    <row r="450">
      <c r="A450" s="18">
        <v>46246.0</v>
      </c>
      <c r="B450" s="19" t="s">
        <v>78</v>
      </c>
      <c r="C450" s="19" t="s">
        <v>171</v>
      </c>
      <c r="D450" s="19" t="s">
        <v>121</v>
      </c>
      <c r="E450" s="14">
        <f t="shared" si="1"/>
        <v>9</v>
      </c>
      <c r="F450" s="19">
        <f t="shared" si="2"/>
        <v>12</v>
      </c>
      <c r="G450" s="20">
        <f t="shared" si="3"/>
        <v>1.333333333</v>
      </c>
      <c r="H450" s="19">
        <v>36.0</v>
      </c>
      <c r="I450" s="19">
        <v>39.0</v>
      </c>
      <c r="J450" s="19">
        <v>2.0</v>
      </c>
      <c r="K450" s="19">
        <v>3.7</v>
      </c>
      <c r="L450" s="19">
        <v>40.0</v>
      </c>
      <c r="M450" s="19">
        <v>44.0</v>
      </c>
      <c r="N450" s="19">
        <v>6.4</v>
      </c>
      <c r="O450" s="19" t="s">
        <v>143</v>
      </c>
      <c r="P450" s="19" t="s">
        <v>186</v>
      </c>
      <c r="Q450" s="20">
        <f t="shared" si="4"/>
        <v>1.333333333</v>
      </c>
      <c r="R450" s="20">
        <f t="shared" si="5"/>
        <v>0.9230769231</v>
      </c>
      <c r="S450" s="20">
        <f t="shared" si="6"/>
        <v>0.05128205128</v>
      </c>
      <c r="T450" s="20">
        <f t="shared" si="7"/>
        <v>0.9090909091</v>
      </c>
      <c r="U450" s="20">
        <f>IF(B450="","",MIN(Q450/Targets!$B$2,1)*Targets!$D$2+MIN(G450/100/Targets!$B$3,1)*Targets!$D$3+MIN(T450/Targets!$B$4,1)*Targets!$D$4+MIN(R450/Targets!$B$5,1)*Targets!$D$5+MIN(N450/Targets!$B$6,1)*Targets!$D$6+MIN(Targets!$B$7/MAX(S450,0.0001),1)*Targets!$D$7)</f>
        <v>0.6891220037</v>
      </c>
    </row>
    <row r="451">
      <c r="A451" s="18">
        <v>46246.0</v>
      </c>
      <c r="B451" s="19" t="s">
        <v>84</v>
      </c>
      <c r="C451" s="19" t="s">
        <v>179</v>
      </c>
      <c r="D451" s="19" t="s">
        <v>121</v>
      </c>
      <c r="E451" s="14">
        <f t="shared" si="1"/>
        <v>9</v>
      </c>
      <c r="F451" s="19">
        <f t="shared" si="2"/>
        <v>7</v>
      </c>
      <c r="G451" s="20">
        <f t="shared" si="3"/>
        <v>0.7777777778</v>
      </c>
      <c r="H451" s="19">
        <v>26.0</v>
      </c>
      <c r="I451" s="19">
        <v>30.0</v>
      </c>
      <c r="J451" s="19">
        <v>1.0</v>
      </c>
      <c r="K451" s="19">
        <v>4.1</v>
      </c>
      <c r="L451" s="19">
        <v>37.0</v>
      </c>
      <c r="M451" s="19">
        <v>42.0</v>
      </c>
      <c r="N451" s="19">
        <v>7.9</v>
      </c>
      <c r="O451" s="19" t="s">
        <v>143</v>
      </c>
      <c r="P451" s="19" t="s">
        <v>144</v>
      </c>
      <c r="Q451" s="20">
        <f t="shared" si="4"/>
        <v>0.7777777778</v>
      </c>
      <c r="R451" s="20">
        <f t="shared" si="5"/>
        <v>0.8666666667</v>
      </c>
      <c r="S451" s="20">
        <f t="shared" si="6"/>
        <v>0.03333333333</v>
      </c>
      <c r="T451" s="20">
        <f t="shared" si="7"/>
        <v>0.880952381</v>
      </c>
      <c r="U451" s="20">
        <f>IF(B451="","",MIN(Q451/Targets!$B$2,1)*Targets!$D$2+MIN(G451/100/Targets!$B$3,1)*Targets!$D$3+MIN(T451/Targets!$B$4,1)*Targets!$D$4+MIN(R451/Targets!$B$5,1)*Targets!$D$5+MIN(N451/Targets!$B$6,1)*Targets!$D$6+MIN(Targets!$B$7/MAX(S451,0.0001),1)*Targets!$D$7)</f>
        <v>0.6590996009</v>
      </c>
    </row>
    <row r="452">
      <c r="A452" s="18">
        <v>46246.0</v>
      </c>
      <c r="B452" s="19" t="s">
        <v>91</v>
      </c>
      <c r="C452" s="19" t="s">
        <v>188</v>
      </c>
      <c r="D452" s="19" t="s">
        <v>121</v>
      </c>
      <c r="E452" s="14">
        <f t="shared" si="1"/>
        <v>7</v>
      </c>
      <c r="F452" s="19">
        <f t="shared" si="2"/>
        <v>13</v>
      </c>
      <c r="G452" s="20">
        <f t="shared" si="3"/>
        <v>1.857142857</v>
      </c>
      <c r="H452" s="19">
        <v>30.0</v>
      </c>
      <c r="I452" s="19">
        <v>32.0</v>
      </c>
      <c r="J452" s="19">
        <v>1.0</v>
      </c>
      <c r="K452" s="19">
        <v>3.4</v>
      </c>
      <c r="L452" s="19">
        <v>36.0</v>
      </c>
      <c r="M452" s="19">
        <v>48.0</v>
      </c>
      <c r="N452" s="19">
        <v>6.7</v>
      </c>
      <c r="O452" s="19" t="s">
        <v>143</v>
      </c>
      <c r="P452" s="19" t="s">
        <v>191</v>
      </c>
      <c r="Q452" s="20">
        <f t="shared" si="4"/>
        <v>1.857142857</v>
      </c>
      <c r="R452" s="20">
        <f t="shared" si="5"/>
        <v>0.9375</v>
      </c>
      <c r="S452" s="20">
        <f t="shared" si="6"/>
        <v>0.03125</v>
      </c>
      <c r="T452" s="20">
        <f t="shared" si="7"/>
        <v>0.75</v>
      </c>
      <c r="U452" s="20">
        <f>IF(B452="","",MIN(Q452/Targets!$B$2,1)*Targets!$D$2+MIN(G452/100/Targets!$B$3,1)*Targets!$D$3+MIN(T452/Targets!$B$4,1)*Targets!$D$4+MIN(R452/Targets!$B$5,1)*Targets!$D$5+MIN(N452/Targets!$B$6,1)*Targets!$D$6+MIN(Targets!$B$7/MAX(S452,0.0001),1)*Targets!$D$7)</f>
        <v>0.6749310777</v>
      </c>
    </row>
    <row r="453">
      <c r="A453" s="18">
        <v>46246.0</v>
      </c>
      <c r="B453" s="19" t="s">
        <v>100</v>
      </c>
      <c r="C453" s="19" t="s">
        <v>190</v>
      </c>
      <c r="D453" s="19" t="s">
        <v>121</v>
      </c>
      <c r="E453" s="14">
        <f t="shared" si="1"/>
        <v>6</v>
      </c>
      <c r="F453" s="19">
        <f t="shared" si="2"/>
        <v>13</v>
      </c>
      <c r="G453" s="20">
        <f t="shared" si="3"/>
        <v>2.166666667</v>
      </c>
      <c r="H453" s="19">
        <v>32.0</v>
      </c>
      <c r="I453" s="19">
        <v>39.0</v>
      </c>
      <c r="J453" s="19">
        <v>3.0</v>
      </c>
      <c r="K453" s="19">
        <v>4.1</v>
      </c>
      <c r="L453" s="19">
        <v>40.0</v>
      </c>
      <c r="M453" s="19">
        <v>53.0</v>
      </c>
      <c r="N453" s="19">
        <v>5.2</v>
      </c>
      <c r="O453" s="19" t="s">
        <v>143</v>
      </c>
      <c r="P453" s="19" t="s">
        <v>144</v>
      </c>
      <c r="Q453" s="20">
        <f t="shared" si="4"/>
        <v>2.166666667</v>
      </c>
      <c r="R453" s="20">
        <f t="shared" si="5"/>
        <v>0.8205128205</v>
      </c>
      <c r="S453" s="20">
        <f t="shared" si="6"/>
        <v>0.07692307692</v>
      </c>
      <c r="T453" s="20">
        <f t="shared" si="7"/>
        <v>0.7547169811</v>
      </c>
      <c r="U453" s="20">
        <f>IF(B453="","",MIN(Q453/Targets!$B$2,1)*Targets!$D$2+MIN(G453/100/Targets!$B$3,1)*Targets!$D$3+MIN(T453/Targets!$B$4,1)*Targets!$D$4+MIN(R453/Targets!$B$5,1)*Targets!$D$5+MIN(N453/Targets!$B$6,1)*Targets!$D$6+MIN(Targets!$B$7/MAX(S453,0.0001),1)*Targets!$D$7)</f>
        <v>0.6018487559</v>
      </c>
    </row>
    <row r="454">
      <c r="A454" s="18">
        <v>46246.0</v>
      </c>
      <c r="B454" s="19" t="s">
        <v>109</v>
      </c>
      <c r="C454" s="19" t="s">
        <v>14</v>
      </c>
      <c r="D454" s="19" t="s">
        <v>121</v>
      </c>
      <c r="E454" s="14">
        <f t="shared" si="1"/>
        <v>13</v>
      </c>
      <c r="F454" s="19">
        <f t="shared" si="2"/>
        <v>7</v>
      </c>
      <c r="G454" s="20">
        <f t="shared" si="3"/>
        <v>0.5384615385</v>
      </c>
      <c r="H454" s="19">
        <v>36.0</v>
      </c>
      <c r="I454" s="19">
        <v>42.0</v>
      </c>
      <c r="J454" s="19">
        <v>2.0</v>
      </c>
      <c r="K454" s="19">
        <v>2.6</v>
      </c>
      <c r="L454" s="19">
        <v>26.0</v>
      </c>
      <c r="M454" s="19">
        <v>28.0</v>
      </c>
      <c r="N454" s="19">
        <v>4.3</v>
      </c>
      <c r="O454" s="19" t="s">
        <v>200</v>
      </c>
      <c r="P454" s="19" t="s">
        <v>191</v>
      </c>
      <c r="Q454" s="20">
        <f t="shared" si="4"/>
        <v>0.5384615385</v>
      </c>
      <c r="R454" s="20">
        <f t="shared" si="5"/>
        <v>0.8571428571</v>
      </c>
      <c r="S454" s="20">
        <f t="shared" si="6"/>
        <v>0.04761904762</v>
      </c>
      <c r="T454" s="20">
        <f t="shared" si="7"/>
        <v>0.9285714286</v>
      </c>
      <c r="U454" s="20">
        <f>IF(B454="","",MIN(Q454/Targets!$B$2,1)*Targets!$D$2+MIN(G454/100/Targets!$B$3,1)*Targets!$D$3+MIN(T454/Targets!$B$4,1)*Targets!$D$4+MIN(R454/Targets!$B$5,1)*Targets!$D$5+MIN(N454/Targets!$B$6,1)*Targets!$D$6+MIN(Targets!$B$7/MAX(S454,0.0001),1)*Targets!$D$7)</f>
        <v>0.5682199087</v>
      </c>
    </row>
    <row r="455">
      <c r="A455" s="18">
        <v>46246.0</v>
      </c>
      <c r="B455" s="19" t="s">
        <v>115</v>
      </c>
      <c r="C455" s="19" t="s">
        <v>167</v>
      </c>
      <c r="D455" s="19" t="s">
        <v>121</v>
      </c>
      <c r="E455" s="14">
        <f t="shared" si="1"/>
        <v>9</v>
      </c>
      <c r="F455" s="19">
        <f t="shared" si="2"/>
        <v>15</v>
      </c>
      <c r="G455" s="20">
        <f t="shared" si="3"/>
        <v>1.666666667</v>
      </c>
      <c r="H455" s="19">
        <v>37.0</v>
      </c>
      <c r="I455" s="19">
        <v>41.0</v>
      </c>
      <c r="J455" s="19">
        <v>3.0</v>
      </c>
      <c r="K455" s="19">
        <v>3.1</v>
      </c>
      <c r="L455" s="19">
        <v>41.0</v>
      </c>
      <c r="M455" s="19">
        <v>45.0</v>
      </c>
      <c r="N455" s="19">
        <v>8.0</v>
      </c>
      <c r="O455" s="19" t="s">
        <v>143</v>
      </c>
      <c r="P455" s="19" t="s">
        <v>191</v>
      </c>
      <c r="Q455" s="20">
        <f t="shared" si="4"/>
        <v>1.666666667</v>
      </c>
      <c r="R455" s="20">
        <f t="shared" si="5"/>
        <v>0.9024390244</v>
      </c>
      <c r="S455" s="20">
        <f t="shared" si="6"/>
        <v>0.07317073171</v>
      </c>
      <c r="T455" s="20">
        <f t="shared" si="7"/>
        <v>0.9111111111</v>
      </c>
      <c r="U455" s="20">
        <f>IF(B455="","",MIN(Q455/Targets!$B$2,1)*Targets!$D$2+MIN(G455/100/Targets!$B$3,1)*Targets!$D$3+MIN(T455/Targets!$B$4,1)*Targets!$D$4+MIN(R455/Targets!$B$5,1)*Targets!$D$5+MIN(N455/Targets!$B$6,1)*Targets!$D$6+MIN(Targets!$B$7/MAX(S455,0.0001),1)*Targets!$D$7)</f>
        <v>0.6663792612</v>
      </c>
    </row>
    <row r="456">
      <c r="A456" s="18">
        <v>46246.0</v>
      </c>
      <c r="B456" s="19" t="s">
        <v>118</v>
      </c>
      <c r="C456" s="19" t="s">
        <v>169</v>
      </c>
      <c r="D456" s="19" t="s">
        <v>121</v>
      </c>
      <c r="E456" s="14">
        <f t="shared" si="1"/>
        <v>11</v>
      </c>
      <c r="F456" s="19">
        <f t="shared" si="2"/>
        <v>11</v>
      </c>
      <c r="G456" s="20">
        <f t="shared" si="3"/>
        <v>1</v>
      </c>
      <c r="H456" s="19">
        <v>29.0</v>
      </c>
      <c r="I456" s="19">
        <v>31.0</v>
      </c>
      <c r="J456" s="19">
        <v>1.0</v>
      </c>
      <c r="K456" s="19">
        <v>3.4</v>
      </c>
      <c r="L456" s="19">
        <v>39.0</v>
      </c>
      <c r="M456" s="19">
        <v>45.0</v>
      </c>
      <c r="N456" s="19">
        <v>7.4</v>
      </c>
      <c r="O456" s="19" t="s">
        <v>143</v>
      </c>
      <c r="P456" s="19" t="s">
        <v>191</v>
      </c>
      <c r="Q456" s="20">
        <f t="shared" si="4"/>
        <v>1</v>
      </c>
      <c r="R456" s="20">
        <f t="shared" si="5"/>
        <v>0.935483871</v>
      </c>
      <c r="S456" s="20">
        <f t="shared" si="6"/>
        <v>0.03225806452</v>
      </c>
      <c r="T456" s="20">
        <f t="shared" si="7"/>
        <v>0.8666666667</v>
      </c>
      <c r="U456" s="20">
        <f>IF(B456="","",MIN(Q456/Targets!$B$2,1)*Targets!$D$2+MIN(G456/100/Targets!$B$3,1)*Targets!$D$3+MIN(T456/Targets!$B$4,1)*Targets!$D$4+MIN(R456/Targets!$B$5,1)*Targets!$D$5+MIN(N456/Targets!$B$6,1)*Targets!$D$6+MIN(Targets!$B$7/MAX(S456,0.0001),1)*Targets!$D$7)</f>
        <v>0.6954857574</v>
      </c>
    </row>
    <row r="457">
      <c r="A457" s="18">
        <v>46246.0</v>
      </c>
      <c r="B457" s="19" t="s">
        <v>123</v>
      </c>
      <c r="C457" s="19" t="s">
        <v>171</v>
      </c>
      <c r="D457" s="19" t="s">
        <v>121</v>
      </c>
      <c r="E457" s="14">
        <f t="shared" si="1"/>
        <v>9</v>
      </c>
      <c r="F457" s="19">
        <f t="shared" si="2"/>
        <v>6</v>
      </c>
      <c r="G457" s="20">
        <f t="shared" si="3"/>
        <v>0.6666666667</v>
      </c>
      <c r="H457" s="19">
        <v>31.0</v>
      </c>
      <c r="I457" s="19">
        <v>38.0</v>
      </c>
      <c r="J457" s="19">
        <v>1.0</v>
      </c>
      <c r="K457" s="19">
        <v>6.2</v>
      </c>
      <c r="L457" s="19">
        <v>40.0</v>
      </c>
      <c r="M457" s="19">
        <v>53.0</v>
      </c>
      <c r="N457" s="19">
        <v>6.9</v>
      </c>
      <c r="O457" s="19" t="s">
        <v>143</v>
      </c>
      <c r="P457" s="19" t="s">
        <v>144</v>
      </c>
      <c r="Q457" s="20">
        <f t="shared" si="4"/>
        <v>0.6666666667</v>
      </c>
      <c r="R457" s="20">
        <f t="shared" si="5"/>
        <v>0.8157894737</v>
      </c>
      <c r="S457" s="20">
        <f t="shared" si="6"/>
        <v>0.02631578947</v>
      </c>
      <c r="T457" s="20">
        <f t="shared" si="7"/>
        <v>0.7547169811</v>
      </c>
      <c r="U457" s="20">
        <f>IF(B457="","",MIN(Q457/Targets!$B$2,1)*Targets!$D$2+MIN(G457/100/Targets!$B$3,1)*Targets!$D$3+MIN(T457/Targets!$B$4,1)*Targets!$D$4+MIN(R457/Targets!$B$5,1)*Targets!$D$5+MIN(N457/Targets!$B$6,1)*Targets!$D$6+MIN(Targets!$B$7/MAX(S457,0.0001),1)*Targets!$D$7)</f>
        <v>0.6035368267</v>
      </c>
    </row>
    <row r="458">
      <c r="A458" s="18">
        <v>46246.0</v>
      </c>
      <c r="B458" s="19" t="s">
        <v>126</v>
      </c>
      <c r="C458" s="19" t="s">
        <v>179</v>
      </c>
      <c r="D458" s="19" t="s">
        <v>121</v>
      </c>
      <c r="E458" s="14">
        <f t="shared" si="1"/>
        <v>8</v>
      </c>
      <c r="F458" s="19">
        <f t="shared" si="2"/>
        <v>8</v>
      </c>
      <c r="G458" s="20">
        <f t="shared" si="3"/>
        <v>1</v>
      </c>
      <c r="H458" s="19">
        <v>47.0</v>
      </c>
      <c r="I458" s="19">
        <v>51.0</v>
      </c>
      <c r="J458" s="19">
        <v>4.0</v>
      </c>
      <c r="K458" s="19">
        <v>1.9</v>
      </c>
      <c r="L458" s="19">
        <v>57.0</v>
      </c>
      <c r="M458" s="19">
        <v>64.0</v>
      </c>
      <c r="N458" s="19">
        <v>8.4</v>
      </c>
      <c r="O458" s="19" t="s">
        <v>143</v>
      </c>
      <c r="P458" s="19" t="s">
        <v>189</v>
      </c>
      <c r="Q458" s="20">
        <f t="shared" si="4"/>
        <v>1</v>
      </c>
      <c r="R458" s="20">
        <f t="shared" si="5"/>
        <v>0.9215686275</v>
      </c>
      <c r="S458" s="20">
        <f t="shared" si="6"/>
        <v>0.07843137255</v>
      </c>
      <c r="T458" s="20">
        <f t="shared" si="7"/>
        <v>0.890625</v>
      </c>
      <c r="U458" s="20">
        <f>IF(B458="","",MIN(Q458/Targets!$B$2,1)*Targets!$D$2+MIN(G458/100/Targets!$B$3,1)*Targets!$D$3+MIN(T458/Targets!$B$4,1)*Targets!$D$4+MIN(R458/Targets!$B$5,1)*Targets!$D$5+MIN(N458/Targets!$B$6,1)*Targets!$D$6+MIN(Targets!$B$7/MAX(S458,0.0001),1)*Targets!$D$7)</f>
        <v>0.6610316692</v>
      </c>
    </row>
    <row r="459">
      <c r="A459" s="18">
        <v>46246.0</v>
      </c>
      <c r="B459" s="19" t="s">
        <v>129</v>
      </c>
      <c r="C459" s="19" t="s">
        <v>188</v>
      </c>
      <c r="D459" s="19" t="s">
        <v>121</v>
      </c>
      <c r="E459" s="14">
        <f t="shared" si="1"/>
        <v>9</v>
      </c>
      <c r="F459" s="19">
        <f t="shared" si="2"/>
        <v>15</v>
      </c>
      <c r="G459" s="20">
        <f t="shared" si="3"/>
        <v>1.666666667</v>
      </c>
      <c r="H459" s="19">
        <v>59.0</v>
      </c>
      <c r="I459" s="19">
        <v>61.0</v>
      </c>
      <c r="J459" s="19">
        <v>5.0</v>
      </c>
      <c r="K459" s="19">
        <v>2.9</v>
      </c>
      <c r="L459" s="19">
        <v>59.0</v>
      </c>
      <c r="M459" s="19">
        <v>62.0</v>
      </c>
      <c r="N459" s="19">
        <v>7.8</v>
      </c>
      <c r="O459" s="19" t="s">
        <v>143</v>
      </c>
      <c r="P459" s="19" t="s">
        <v>144</v>
      </c>
      <c r="Q459" s="20">
        <f t="shared" si="4"/>
        <v>1.666666667</v>
      </c>
      <c r="R459" s="20">
        <f t="shared" si="5"/>
        <v>0.9672131148</v>
      </c>
      <c r="S459" s="20">
        <f t="shared" si="6"/>
        <v>0.08196721311</v>
      </c>
      <c r="T459" s="20">
        <f t="shared" si="7"/>
        <v>0.9516129032</v>
      </c>
      <c r="U459" s="20">
        <f>IF(B459="","",MIN(Q459/Targets!$B$2,1)*Targets!$D$2+MIN(G459/100/Targets!$B$3,1)*Targets!$D$3+MIN(T459/Targets!$B$4,1)*Targets!$D$4+MIN(R459/Targets!$B$5,1)*Targets!$D$5+MIN(N459/Targets!$B$6,1)*Targets!$D$6+MIN(Targets!$B$7/MAX(S459,0.0001),1)*Targets!$D$7)</f>
        <v>0.6665555556</v>
      </c>
    </row>
    <row r="460">
      <c r="A460" s="18">
        <v>46246.0</v>
      </c>
      <c r="B460" s="19" t="s">
        <v>132</v>
      </c>
      <c r="C460" s="19" t="s">
        <v>190</v>
      </c>
      <c r="D460" s="19" t="s">
        <v>121</v>
      </c>
      <c r="E460" s="14">
        <f t="shared" si="1"/>
        <v>7</v>
      </c>
      <c r="F460" s="19">
        <f t="shared" si="2"/>
        <v>11</v>
      </c>
      <c r="G460" s="20">
        <f t="shared" si="3"/>
        <v>1.571428571</v>
      </c>
      <c r="H460" s="19">
        <v>47.0</v>
      </c>
      <c r="I460" s="19">
        <v>49.0</v>
      </c>
      <c r="J460" s="19">
        <v>3.0</v>
      </c>
      <c r="K460" s="19">
        <v>2.3</v>
      </c>
      <c r="L460" s="19">
        <v>56.0</v>
      </c>
      <c r="M460" s="19">
        <v>66.0</v>
      </c>
      <c r="N460" s="19">
        <v>8.2</v>
      </c>
      <c r="O460" s="19" t="s">
        <v>143</v>
      </c>
      <c r="P460" s="19" t="s">
        <v>178</v>
      </c>
      <c r="Q460" s="20">
        <f t="shared" si="4"/>
        <v>1.571428571</v>
      </c>
      <c r="R460" s="20">
        <f t="shared" si="5"/>
        <v>0.9591836735</v>
      </c>
      <c r="S460" s="20">
        <f t="shared" si="6"/>
        <v>0.0612244898</v>
      </c>
      <c r="T460" s="20">
        <f t="shared" si="7"/>
        <v>0.8484848485</v>
      </c>
      <c r="U460" s="20">
        <f>IF(B460="","",MIN(Q460/Targets!$B$2,1)*Targets!$D$2+MIN(G460/100/Targets!$B$3,1)*Targets!$D$3+MIN(T460/Targets!$B$4,1)*Targets!$D$4+MIN(R460/Targets!$B$5,1)*Targets!$D$5+MIN(N460/Targets!$B$6,1)*Targets!$D$6+MIN(Targets!$B$7/MAX(S460,0.0001),1)*Targets!$D$7)</f>
        <v>0.6783189033</v>
      </c>
    </row>
    <row r="461">
      <c r="A461" s="18">
        <v>46246.0</v>
      </c>
      <c r="B461" s="19" t="s">
        <v>135</v>
      </c>
      <c r="C461" s="19" t="s">
        <v>169</v>
      </c>
      <c r="D461" s="19" t="s">
        <v>121</v>
      </c>
      <c r="E461" s="14">
        <f t="shared" si="1"/>
        <v>14</v>
      </c>
      <c r="F461" s="19">
        <f t="shared" si="2"/>
        <v>9</v>
      </c>
      <c r="G461" s="20">
        <f t="shared" si="3"/>
        <v>0.6428571429</v>
      </c>
      <c r="H461" s="19">
        <v>44.0</v>
      </c>
      <c r="I461" s="19">
        <v>46.0</v>
      </c>
      <c r="J461" s="19">
        <v>2.0</v>
      </c>
      <c r="K461" s="19">
        <v>3.1</v>
      </c>
      <c r="L461" s="19">
        <v>42.0</v>
      </c>
      <c r="M461" s="19">
        <v>49.0</v>
      </c>
      <c r="N461" s="19">
        <v>6.6</v>
      </c>
      <c r="O461" s="19" t="s">
        <v>143</v>
      </c>
      <c r="P461" s="19" t="s">
        <v>168</v>
      </c>
      <c r="Q461" s="20">
        <f t="shared" si="4"/>
        <v>0.6428571429</v>
      </c>
      <c r="R461" s="20">
        <f t="shared" si="5"/>
        <v>0.9565217391</v>
      </c>
      <c r="S461" s="20">
        <f t="shared" si="6"/>
        <v>0.04347826087</v>
      </c>
      <c r="T461" s="20">
        <f t="shared" si="7"/>
        <v>0.8571428571</v>
      </c>
      <c r="U461" s="20">
        <f>IF(B461="","",MIN(Q461/Targets!$B$2,1)*Targets!$D$2+MIN(G461/100/Targets!$B$3,1)*Targets!$D$3+MIN(T461/Targets!$B$4,1)*Targets!$D$4+MIN(R461/Targets!$B$5,1)*Targets!$D$5+MIN(N461/Targets!$B$6,1)*Targets!$D$6+MIN(Targets!$B$7/MAX(S461,0.0001),1)*Targets!$D$7)</f>
        <v>0.6321428571</v>
      </c>
    </row>
    <row r="462">
      <c r="A462" s="18">
        <v>46247.0</v>
      </c>
      <c r="B462" s="19" t="s">
        <v>10</v>
      </c>
      <c r="C462" s="19" t="s">
        <v>14</v>
      </c>
      <c r="D462" s="19" t="s">
        <v>121</v>
      </c>
      <c r="E462" s="14">
        <f t="shared" si="1"/>
        <v>8</v>
      </c>
      <c r="F462" s="19">
        <f t="shared" si="2"/>
        <v>14</v>
      </c>
      <c r="G462" s="20">
        <f t="shared" si="3"/>
        <v>1.75</v>
      </c>
      <c r="H462" s="19">
        <v>36.0</v>
      </c>
      <c r="I462" s="19">
        <v>40.0</v>
      </c>
      <c r="J462" s="19">
        <v>1.0</v>
      </c>
      <c r="K462" s="19">
        <v>4.0</v>
      </c>
      <c r="L462" s="19">
        <v>47.0</v>
      </c>
      <c r="M462" s="19">
        <v>52.0</v>
      </c>
      <c r="N462" s="19">
        <v>7.0</v>
      </c>
      <c r="O462" s="19" t="s">
        <v>143</v>
      </c>
      <c r="P462" s="19" t="s">
        <v>178</v>
      </c>
      <c r="Q462" s="20">
        <f t="shared" si="4"/>
        <v>1.75</v>
      </c>
      <c r="R462" s="20">
        <f t="shared" si="5"/>
        <v>0.9</v>
      </c>
      <c r="S462" s="20">
        <f t="shared" si="6"/>
        <v>0.025</v>
      </c>
      <c r="T462" s="20">
        <f t="shared" si="7"/>
        <v>0.9038461538</v>
      </c>
      <c r="U462" s="20">
        <f>IF(B462="","",MIN(Q462/Targets!$B$2,1)*Targets!$D$2+MIN(G462/100/Targets!$B$3,1)*Targets!$D$3+MIN(T462/Targets!$B$4,1)*Targets!$D$4+MIN(R462/Targets!$B$5,1)*Targets!$D$5+MIN(N462/Targets!$B$6,1)*Targets!$D$6+MIN(Targets!$B$7/MAX(S462,0.0001),1)*Targets!$D$7)</f>
        <v>0.6979385965</v>
      </c>
    </row>
    <row r="463">
      <c r="A463" s="18">
        <v>46247.0</v>
      </c>
      <c r="B463" s="19" t="s">
        <v>25</v>
      </c>
      <c r="C463" s="19" t="s">
        <v>167</v>
      </c>
      <c r="D463" s="19" t="s">
        <v>121</v>
      </c>
      <c r="E463" s="14">
        <f t="shared" si="1"/>
        <v>11</v>
      </c>
      <c r="F463" s="19">
        <f t="shared" si="2"/>
        <v>13</v>
      </c>
      <c r="G463" s="20">
        <f t="shared" si="3"/>
        <v>1.181818182</v>
      </c>
      <c r="H463" s="19">
        <v>39.0</v>
      </c>
      <c r="I463" s="19">
        <v>43.0</v>
      </c>
      <c r="J463" s="19">
        <v>1.0</v>
      </c>
      <c r="K463" s="19">
        <v>4.1</v>
      </c>
      <c r="L463" s="19">
        <v>47.0</v>
      </c>
      <c r="M463" s="19">
        <v>57.0</v>
      </c>
      <c r="N463" s="19">
        <v>6.4</v>
      </c>
      <c r="O463" s="19" t="s">
        <v>143</v>
      </c>
      <c r="P463" s="19" t="s">
        <v>187</v>
      </c>
      <c r="Q463" s="20">
        <f t="shared" si="4"/>
        <v>1.181818182</v>
      </c>
      <c r="R463" s="20">
        <f t="shared" si="5"/>
        <v>0.9069767442</v>
      </c>
      <c r="S463" s="20">
        <f t="shared" si="6"/>
        <v>0.02325581395</v>
      </c>
      <c r="T463" s="20">
        <f t="shared" si="7"/>
        <v>0.8245614035</v>
      </c>
      <c r="U463" s="20">
        <f>IF(B463="","",MIN(Q463/Targets!$B$2,1)*Targets!$D$2+MIN(G463/100/Targets!$B$3,1)*Targets!$D$3+MIN(T463/Targets!$B$4,1)*Targets!$D$4+MIN(R463/Targets!$B$5,1)*Targets!$D$5+MIN(N463/Targets!$B$6,1)*Targets!$D$6+MIN(Targets!$B$7/MAX(S463,0.0001),1)*Targets!$D$7)</f>
        <v>0.6760017203</v>
      </c>
    </row>
    <row r="464">
      <c r="A464" s="18">
        <v>46247.0</v>
      </c>
      <c r="B464" s="19" t="s">
        <v>37</v>
      </c>
      <c r="C464" s="19" t="s">
        <v>169</v>
      </c>
      <c r="D464" s="19" t="s">
        <v>121</v>
      </c>
      <c r="E464" s="14">
        <f t="shared" si="1"/>
        <v>9</v>
      </c>
      <c r="F464" s="19">
        <f t="shared" si="2"/>
        <v>14</v>
      </c>
      <c r="G464" s="20">
        <f t="shared" si="3"/>
        <v>1.555555556</v>
      </c>
      <c r="H464" s="19">
        <v>32.0</v>
      </c>
      <c r="I464" s="19">
        <v>35.0</v>
      </c>
      <c r="J464" s="19">
        <v>0.0</v>
      </c>
      <c r="K464" s="19">
        <v>3.9</v>
      </c>
      <c r="L464" s="19">
        <v>40.0</v>
      </c>
      <c r="M464" s="19">
        <v>46.0</v>
      </c>
      <c r="N464" s="19">
        <v>7.1</v>
      </c>
      <c r="O464" s="19" t="s">
        <v>143</v>
      </c>
      <c r="P464" s="19" t="s">
        <v>186</v>
      </c>
      <c r="Q464" s="20">
        <f t="shared" si="4"/>
        <v>1.555555556</v>
      </c>
      <c r="R464" s="20">
        <f t="shared" si="5"/>
        <v>0.9142857143</v>
      </c>
      <c r="S464" s="20">
        <f t="shared" si="6"/>
        <v>0</v>
      </c>
      <c r="T464" s="20">
        <f t="shared" si="7"/>
        <v>0.8695652174</v>
      </c>
      <c r="U464" s="20">
        <f>IF(B464="","",MIN(Q464/Targets!$B$2,1)*Targets!$D$2+MIN(G464/100/Targets!$B$3,1)*Targets!$D$3+MIN(T464/Targets!$B$4,1)*Targets!$D$4+MIN(R464/Targets!$B$5,1)*Targets!$D$5+MIN(N464/Targets!$B$6,1)*Targets!$D$6+MIN(Targets!$B$7/MAX(S464,0.0001),1)*Targets!$D$7)</f>
        <v>0.6944736237</v>
      </c>
    </row>
    <row r="465">
      <c r="A465" s="18">
        <v>46247.0</v>
      </c>
      <c r="B465" s="19" t="s">
        <v>42</v>
      </c>
      <c r="C465" s="19" t="s">
        <v>171</v>
      </c>
      <c r="D465" s="19" t="s">
        <v>121</v>
      </c>
      <c r="E465" s="14">
        <f t="shared" si="1"/>
        <v>11</v>
      </c>
      <c r="F465" s="19">
        <f t="shared" si="2"/>
        <v>15</v>
      </c>
      <c r="G465" s="20">
        <f t="shared" si="3"/>
        <v>1.363636364</v>
      </c>
      <c r="H465" s="19">
        <v>42.0</v>
      </c>
      <c r="I465" s="19">
        <v>44.0</v>
      </c>
      <c r="J465" s="19">
        <v>3.0</v>
      </c>
      <c r="K465" s="19">
        <v>2.6</v>
      </c>
      <c r="L465" s="19">
        <v>44.0</v>
      </c>
      <c r="M465" s="19">
        <v>50.0</v>
      </c>
      <c r="N465" s="19">
        <v>7.6</v>
      </c>
      <c r="O465" s="19" t="s">
        <v>143</v>
      </c>
      <c r="P465" s="19" t="s">
        <v>189</v>
      </c>
      <c r="Q465" s="20">
        <f t="shared" si="4"/>
        <v>1.363636364</v>
      </c>
      <c r="R465" s="20">
        <f t="shared" si="5"/>
        <v>0.9545454545</v>
      </c>
      <c r="S465" s="20">
        <f t="shared" si="6"/>
        <v>0.06818181818</v>
      </c>
      <c r="T465" s="20">
        <f t="shared" si="7"/>
        <v>0.88</v>
      </c>
      <c r="U465" s="20">
        <f>IF(B465="","",MIN(Q465/Targets!$B$2,1)*Targets!$D$2+MIN(G465/100/Targets!$B$3,1)*Targets!$D$3+MIN(T465/Targets!$B$4,1)*Targets!$D$4+MIN(R465/Targets!$B$5,1)*Targets!$D$5+MIN(N465/Targets!$B$6,1)*Targets!$D$6+MIN(Targets!$B$7/MAX(S465,0.0001),1)*Targets!$D$7)</f>
        <v>0.6745454545</v>
      </c>
    </row>
    <row r="466">
      <c r="A466" s="18">
        <v>46247.0</v>
      </c>
      <c r="B466" s="19" t="s">
        <v>46</v>
      </c>
      <c r="C466" s="19" t="s">
        <v>179</v>
      </c>
      <c r="D466" s="19" t="s">
        <v>121</v>
      </c>
      <c r="E466" s="14">
        <f t="shared" si="1"/>
        <v>16</v>
      </c>
      <c r="F466" s="19">
        <f t="shared" si="2"/>
        <v>8</v>
      </c>
      <c r="G466" s="20">
        <f t="shared" si="3"/>
        <v>0.5</v>
      </c>
      <c r="H466" s="19">
        <v>19.0</v>
      </c>
      <c r="I466" s="19">
        <v>24.0</v>
      </c>
      <c r="J466" s="19">
        <v>1.0</v>
      </c>
      <c r="K466" s="19">
        <v>4.0</v>
      </c>
      <c r="L466" s="19">
        <v>29.0</v>
      </c>
      <c r="M466" s="19">
        <v>40.0</v>
      </c>
      <c r="N466" s="19">
        <v>5.9</v>
      </c>
      <c r="O466" s="19" t="s">
        <v>143</v>
      </c>
      <c r="P466" s="19" t="s">
        <v>186</v>
      </c>
      <c r="Q466" s="20">
        <f t="shared" si="4"/>
        <v>0.5</v>
      </c>
      <c r="R466" s="20">
        <f t="shared" si="5"/>
        <v>0.7916666667</v>
      </c>
      <c r="S466" s="20">
        <f t="shared" si="6"/>
        <v>0.04166666667</v>
      </c>
      <c r="T466" s="20">
        <f t="shared" si="7"/>
        <v>0.725</v>
      </c>
      <c r="U466" s="20">
        <f>IF(B466="","",MIN(Q466/Targets!$B$2,1)*Targets!$D$2+MIN(G466/100/Targets!$B$3,1)*Targets!$D$3+MIN(T466/Targets!$B$4,1)*Targets!$D$4+MIN(R466/Targets!$B$5,1)*Targets!$D$5+MIN(N466/Targets!$B$6,1)*Targets!$D$6+MIN(Targets!$B$7/MAX(S466,0.0001),1)*Targets!$D$7)</f>
        <v>0.5428968254</v>
      </c>
    </row>
    <row r="467">
      <c r="A467" s="18">
        <v>46247.0</v>
      </c>
      <c r="B467" s="19" t="s">
        <v>53</v>
      </c>
      <c r="C467" s="19" t="s">
        <v>14</v>
      </c>
      <c r="D467" s="19" t="s">
        <v>121</v>
      </c>
      <c r="E467" s="14">
        <f t="shared" si="1"/>
        <v>15</v>
      </c>
      <c r="F467" s="19">
        <f t="shared" si="2"/>
        <v>13</v>
      </c>
      <c r="G467" s="20">
        <f t="shared" si="3"/>
        <v>0.8666666667</v>
      </c>
      <c r="H467" s="19">
        <v>23.0</v>
      </c>
      <c r="I467" s="19">
        <v>30.0</v>
      </c>
      <c r="J467" s="19">
        <v>1.0</v>
      </c>
      <c r="K467" s="19">
        <v>4.5</v>
      </c>
      <c r="L467" s="19">
        <v>40.0</v>
      </c>
      <c r="M467" s="19">
        <v>46.0</v>
      </c>
      <c r="N467" s="19">
        <v>5.3</v>
      </c>
      <c r="O467" s="19" t="s">
        <v>143</v>
      </c>
      <c r="P467" s="19" t="s">
        <v>186</v>
      </c>
      <c r="Q467" s="20">
        <f t="shared" si="4"/>
        <v>0.8666666667</v>
      </c>
      <c r="R467" s="20">
        <f t="shared" si="5"/>
        <v>0.7666666667</v>
      </c>
      <c r="S467" s="20">
        <f t="shared" si="6"/>
        <v>0.03333333333</v>
      </c>
      <c r="T467" s="20">
        <f t="shared" si="7"/>
        <v>0.8695652174</v>
      </c>
      <c r="U467" s="20">
        <f>IF(B467="","",MIN(Q467/Targets!$B$2,1)*Targets!$D$2+MIN(G467/100/Targets!$B$3,1)*Targets!$D$3+MIN(T467/Targets!$B$4,1)*Targets!$D$4+MIN(R467/Targets!$B$5,1)*Targets!$D$5+MIN(N467/Targets!$B$6,1)*Targets!$D$6+MIN(Targets!$B$7/MAX(S467,0.0001),1)*Targets!$D$7)</f>
        <v>0.637175935</v>
      </c>
    </row>
    <row r="468">
      <c r="A468" s="18">
        <v>46247.0</v>
      </c>
      <c r="B468" s="19" t="s">
        <v>65</v>
      </c>
      <c r="C468" s="19" t="s">
        <v>167</v>
      </c>
      <c r="D468" s="19" t="s">
        <v>121</v>
      </c>
      <c r="E468" s="14">
        <f t="shared" si="1"/>
        <v>13</v>
      </c>
      <c r="F468" s="19">
        <f t="shared" si="2"/>
        <v>7</v>
      </c>
      <c r="G468" s="20">
        <f t="shared" si="3"/>
        <v>0.5384615385</v>
      </c>
      <c r="H468" s="19">
        <v>34.0</v>
      </c>
      <c r="I468" s="19">
        <v>39.0</v>
      </c>
      <c r="J468" s="19">
        <v>2.0</v>
      </c>
      <c r="K468" s="19">
        <v>4.3</v>
      </c>
      <c r="L468" s="19">
        <v>46.0</v>
      </c>
      <c r="M468" s="19">
        <v>53.0</v>
      </c>
      <c r="N468" s="19">
        <v>6.5</v>
      </c>
      <c r="O468" s="19" t="s">
        <v>143</v>
      </c>
      <c r="P468" s="19" t="s">
        <v>186</v>
      </c>
      <c r="Q468" s="20">
        <f t="shared" si="4"/>
        <v>0.5384615385</v>
      </c>
      <c r="R468" s="20">
        <f t="shared" si="5"/>
        <v>0.8717948718</v>
      </c>
      <c r="S468" s="20">
        <f t="shared" si="6"/>
        <v>0.05128205128</v>
      </c>
      <c r="T468" s="20">
        <f t="shared" si="7"/>
        <v>0.8679245283</v>
      </c>
      <c r="U468" s="20">
        <f>IF(B468="","",MIN(Q468/Targets!$B$2,1)*Targets!$D$2+MIN(G468/100/Targets!$B$3,1)*Targets!$D$3+MIN(T468/Targets!$B$4,1)*Targets!$D$4+MIN(R468/Targets!$B$5,1)*Targets!$D$5+MIN(N468/Targets!$B$6,1)*Targets!$D$6+MIN(Targets!$B$7/MAX(S468,0.0001),1)*Targets!$D$7)</f>
        <v>0.5941160442</v>
      </c>
    </row>
    <row r="469">
      <c r="A469" s="18">
        <v>46247.0</v>
      </c>
      <c r="B469" s="19" t="s">
        <v>73</v>
      </c>
      <c r="C469" s="19" t="s">
        <v>169</v>
      </c>
      <c r="D469" s="19" t="s">
        <v>121</v>
      </c>
      <c r="E469" s="14">
        <f t="shared" si="1"/>
        <v>15</v>
      </c>
      <c r="F469" s="19">
        <f t="shared" si="2"/>
        <v>8</v>
      </c>
      <c r="G469" s="20">
        <f t="shared" si="3"/>
        <v>0.5333333333</v>
      </c>
      <c r="H469" s="19">
        <v>0.0</v>
      </c>
      <c r="I469" s="19">
        <v>0.0</v>
      </c>
      <c r="J469" s="19">
        <v>0.0</v>
      </c>
      <c r="K469" s="19">
        <v>0.0</v>
      </c>
      <c r="L469" s="19">
        <v>0.0</v>
      </c>
      <c r="M469" s="19">
        <v>0.0</v>
      </c>
      <c r="N469" s="19">
        <v>0.0</v>
      </c>
      <c r="O469" s="19" t="s">
        <v>205</v>
      </c>
      <c r="P469" s="19" t="s">
        <v>205</v>
      </c>
      <c r="Q469" s="20">
        <f t="shared" si="4"/>
        <v>0.5333333333</v>
      </c>
      <c r="R469" s="20">
        <f t="shared" si="5"/>
        <v>0</v>
      </c>
      <c r="S469" s="20">
        <f t="shared" si="6"/>
        <v>0</v>
      </c>
      <c r="T469" s="20">
        <f t="shared" si="7"/>
        <v>0</v>
      </c>
      <c r="U469" s="20">
        <f>IF(B469="","",MIN(Q469/Targets!$B$2,1)*Targets!$D$2+MIN(G469/100/Targets!$B$3,1)*Targets!$D$3+MIN(T469/Targets!$B$4,1)*Targets!$D$4+MIN(R469/Targets!$B$5,1)*Targets!$D$5+MIN(N469/Targets!$B$6,1)*Targets!$D$6+MIN(Targets!$B$7/MAX(S469,0.0001),1)*Targets!$D$7)</f>
        <v>0.2202962963</v>
      </c>
    </row>
    <row r="470">
      <c r="A470" s="18">
        <v>46247.0</v>
      </c>
      <c r="B470" s="19" t="s">
        <v>78</v>
      </c>
      <c r="C470" s="19" t="s">
        <v>171</v>
      </c>
      <c r="D470" s="19" t="s">
        <v>121</v>
      </c>
      <c r="E470" s="14">
        <f t="shared" si="1"/>
        <v>9</v>
      </c>
      <c r="F470" s="19">
        <f t="shared" si="2"/>
        <v>13</v>
      </c>
      <c r="G470" s="20">
        <f t="shared" si="3"/>
        <v>1.444444444</v>
      </c>
      <c r="H470" s="19">
        <v>31.0</v>
      </c>
      <c r="I470" s="19">
        <v>36.0</v>
      </c>
      <c r="J470" s="19">
        <v>2.0</v>
      </c>
      <c r="K470" s="19">
        <v>5.5</v>
      </c>
      <c r="L470" s="19">
        <v>43.0</v>
      </c>
      <c r="M470" s="19">
        <v>50.0</v>
      </c>
      <c r="N470" s="19">
        <v>6.6</v>
      </c>
      <c r="O470" s="19" t="s">
        <v>143</v>
      </c>
      <c r="P470" s="19" t="s">
        <v>186</v>
      </c>
      <c r="Q470" s="20">
        <f t="shared" si="4"/>
        <v>1.444444444</v>
      </c>
      <c r="R470" s="20">
        <f t="shared" si="5"/>
        <v>0.8611111111</v>
      </c>
      <c r="S470" s="20">
        <f t="shared" si="6"/>
        <v>0.05555555556</v>
      </c>
      <c r="T470" s="20">
        <f t="shared" si="7"/>
        <v>0.86</v>
      </c>
      <c r="U470" s="20">
        <f>IF(B470="","",MIN(Q470/Targets!$B$2,1)*Targets!$D$2+MIN(G470/100/Targets!$B$3,1)*Targets!$D$3+MIN(T470/Targets!$B$4,1)*Targets!$D$4+MIN(R470/Targets!$B$5,1)*Targets!$D$5+MIN(N470/Targets!$B$6,1)*Targets!$D$6+MIN(Targets!$B$7/MAX(S470,0.0001),1)*Targets!$D$7)</f>
        <v>0.6683987747</v>
      </c>
    </row>
    <row r="471">
      <c r="A471" s="18">
        <v>46247.0</v>
      </c>
      <c r="B471" s="19" t="s">
        <v>84</v>
      </c>
      <c r="C471" s="19" t="s">
        <v>179</v>
      </c>
      <c r="D471" s="19" t="s">
        <v>121</v>
      </c>
      <c r="E471" s="14">
        <f t="shared" si="1"/>
        <v>16</v>
      </c>
      <c r="F471" s="19">
        <f t="shared" si="2"/>
        <v>9</v>
      </c>
      <c r="G471" s="20">
        <f t="shared" si="3"/>
        <v>0.5625</v>
      </c>
      <c r="H471" s="19">
        <v>40.0</v>
      </c>
      <c r="I471" s="19">
        <v>42.0</v>
      </c>
      <c r="J471" s="19">
        <v>2.0</v>
      </c>
      <c r="K471" s="19">
        <v>1.9</v>
      </c>
      <c r="L471" s="19">
        <v>56.0</v>
      </c>
      <c r="M471" s="19">
        <v>62.0</v>
      </c>
      <c r="N471" s="19">
        <v>7.9</v>
      </c>
      <c r="O471" s="19" t="s">
        <v>143</v>
      </c>
      <c r="P471" s="19" t="s">
        <v>178</v>
      </c>
      <c r="Q471" s="20">
        <f t="shared" si="4"/>
        <v>0.5625</v>
      </c>
      <c r="R471" s="20">
        <f t="shared" si="5"/>
        <v>0.9523809524</v>
      </c>
      <c r="S471" s="20">
        <f t="shared" si="6"/>
        <v>0.04761904762</v>
      </c>
      <c r="T471" s="20">
        <f t="shared" si="7"/>
        <v>0.9032258065</v>
      </c>
      <c r="U471" s="20">
        <f>IF(B471="","",MIN(Q471/Targets!$B$2,1)*Targets!$D$2+MIN(G471/100/Targets!$B$3,1)*Targets!$D$3+MIN(T471/Targets!$B$4,1)*Targets!$D$4+MIN(R471/Targets!$B$5,1)*Targets!$D$5+MIN(N471/Targets!$B$6,1)*Targets!$D$6+MIN(Targets!$B$7/MAX(S471,0.0001),1)*Targets!$D$7)</f>
        <v>0.626875</v>
      </c>
    </row>
    <row r="472">
      <c r="A472" s="18">
        <v>46247.0</v>
      </c>
      <c r="B472" s="19" t="s">
        <v>91</v>
      </c>
      <c r="C472" s="19" t="s">
        <v>188</v>
      </c>
      <c r="D472" s="19" t="s">
        <v>121</v>
      </c>
      <c r="E472" s="14">
        <f t="shared" si="1"/>
        <v>13</v>
      </c>
      <c r="F472" s="19">
        <f t="shared" si="2"/>
        <v>9</v>
      </c>
      <c r="G472" s="20">
        <f t="shared" si="3"/>
        <v>0.6923076923</v>
      </c>
      <c r="H472" s="19">
        <v>38.0</v>
      </c>
      <c r="I472" s="19">
        <v>42.0</v>
      </c>
      <c r="J472" s="19">
        <v>3.0</v>
      </c>
      <c r="K472" s="19">
        <v>3.9</v>
      </c>
      <c r="L472" s="19">
        <v>46.0</v>
      </c>
      <c r="M472" s="19">
        <v>54.0</v>
      </c>
      <c r="N472" s="19">
        <v>7.3</v>
      </c>
      <c r="O472" s="19" t="s">
        <v>143</v>
      </c>
      <c r="P472" s="19" t="s">
        <v>191</v>
      </c>
      <c r="Q472" s="20">
        <f t="shared" si="4"/>
        <v>0.6923076923</v>
      </c>
      <c r="R472" s="20">
        <f t="shared" si="5"/>
        <v>0.9047619048</v>
      </c>
      <c r="S472" s="20">
        <f t="shared" si="6"/>
        <v>0.07142857143</v>
      </c>
      <c r="T472" s="20">
        <f t="shared" si="7"/>
        <v>0.8518518519</v>
      </c>
      <c r="U472" s="20">
        <f>IF(B472="","",MIN(Q472/Targets!$B$2,1)*Targets!$D$2+MIN(G472/100/Targets!$B$3,1)*Targets!$D$3+MIN(T472/Targets!$B$4,1)*Targets!$D$4+MIN(R472/Targets!$B$5,1)*Targets!$D$5+MIN(N472/Targets!$B$6,1)*Targets!$D$6+MIN(Targets!$B$7/MAX(S472,0.0001),1)*Targets!$D$7)</f>
        <v>0.6109862977</v>
      </c>
    </row>
    <row r="473">
      <c r="A473" s="18">
        <v>46247.0</v>
      </c>
      <c r="B473" s="19" t="s">
        <v>100</v>
      </c>
      <c r="C473" s="19" t="s">
        <v>190</v>
      </c>
      <c r="D473" s="19" t="s">
        <v>121</v>
      </c>
      <c r="E473" s="14">
        <f t="shared" si="1"/>
        <v>9</v>
      </c>
      <c r="F473" s="19">
        <f t="shared" si="2"/>
        <v>15</v>
      </c>
      <c r="G473" s="20">
        <f t="shared" si="3"/>
        <v>1.666666667</v>
      </c>
      <c r="H473" s="19">
        <v>52.0</v>
      </c>
      <c r="I473" s="19">
        <v>53.0</v>
      </c>
      <c r="J473" s="19">
        <v>4.0</v>
      </c>
      <c r="K473" s="19">
        <v>2.2</v>
      </c>
      <c r="L473" s="19">
        <v>58.0</v>
      </c>
      <c r="M473" s="19">
        <v>66.0</v>
      </c>
      <c r="N473" s="19">
        <v>7.3</v>
      </c>
      <c r="O473" s="19" t="s">
        <v>143</v>
      </c>
      <c r="P473" s="19" t="s">
        <v>187</v>
      </c>
      <c r="Q473" s="20">
        <f t="shared" si="4"/>
        <v>1.666666667</v>
      </c>
      <c r="R473" s="20">
        <f t="shared" si="5"/>
        <v>0.9811320755</v>
      </c>
      <c r="S473" s="20">
        <f t="shared" si="6"/>
        <v>0.07547169811</v>
      </c>
      <c r="T473" s="20">
        <f t="shared" si="7"/>
        <v>0.8787878788</v>
      </c>
      <c r="U473" s="20">
        <f>IF(B473="","",MIN(Q473/Targets!$B$2,1)*Targets!$D$2+MIN(G473/100/Targets!$B$3,1)*Targets!$D$3+MIN(T473/Targets!$B$4,1)*Targets!$D$4+MIN(R473/Targets!$B$5,1)*Targets!$D$5+MIN(N473/Targets!$B$6,1)*Targets!$D$6+MIN(Targets!$B$7/MAX(S473,0.0001),1)*Targets!$D$7)</f>
        <v>0.668270202</v>
      </c>
    </row>
    <row r="474">
      <c r="A474" s="18">
        <v>46247.0</v>
      </c>
      <c r="B474" s="19" t="s">
        <v>109</v>
      </c>
      <c r="C474" s="19" t="s">
        <v>14</v>
      </c>
      <c r="D474" s="19" t="s">
        <v>121</v>
      </c>
      <c r="E474" s="14">
        <f t="shared" si="1"/>
        <v>6</v>
      </c>
      <c r="F474" s="19">
        <f t="shared" si="2"/>
        <v>6</v>
      </c>
      <c r="G474" s="20">
        <f t="shared" si="3"/>
        <v>1</v>
      </c>
      <c r="H474" s="19">
        <v>32.0</v>
      </c>
      <c r="I474" s="19">
        <v>36.0</v>
      </c>
      <c r="J474" s="19">
        <v>1.0</v>
      </c>
      <c r="K474" s="19">
        <v>4.3</v>
      </c>
      <c r="L474" s="19">
        <v>41.0</v>
      </c>
      <c r="M474" s="19">
        <v>47.0</v>
      </c>
      <c r="N474" s="19">
        <v>7.7</v>
      </c>
      <c r="O474" s="19" t="s">
        <v>143</v>
      </c>
      <c r="P474" s="19" t="s">
        <v>168</v>
      </c>
      <c r="Q474" s="20">
        <f t="shared" si="4"/>
        <v>1</v>
      </c>
      <c r="R474" s="20">
        <f t="shared" si="5"/>
        <v>0.8888888889</v>
      </c>
      <c r="S474" s="20">
        <f t="shared" si="6"/>
        <v>0.02777777778</v>
      </c>
      <c r="T474" s="20">
        <f t="shared" si="7"/>
        <v>0.8723404255</v>
      </c>
      <c r="U474" s="20">
        <f>IF(B474="","",MIN(Q474/Targets!$B$2,1)*Targets!$D$2+MIN(G474/100/Targets!$B$3,1)*Targets!$D$3+MIN(T474/Targets!$B$4,1)*Targets!$D$4+MIN(R474/Targets!$B$5,1)*Targets!$D$5+MIN(N474/Targets!$B$6,1)*Targets!$D$6+MIN(Targets!$B$7/MAX(S474,0.0001),1)*Targets!$D$7)</f>
        <v>0.6890742814</v>
      </c>
    </row>
    <row r="475">
      <c r="A475" s="18">
        <v>46247.0</v>
      </c>
      <c r="B475" s="19" t="s">
        <v>115</v>
      </c>
      <c r="C475" s="19" t="s">
        <v>167</v>
      </c>
      <c r="D475" s="19" t="s">
        <v>121</v>
      </c>
      <c r="E475" s="14">
        <f t="shared" si="1"/>
        <v>9</v>
      </c>
      <c r="F475" s="19">
        <f t="shared" si="2"/>
        <v>13</v>
      </c>
      <c r="G475" s="20">
        <f t="shared" si="3"/>
        <v>1.444444444</v>
      </c>
      <c r="H475" s="19">
        <v>45.0</v>
      </c>
      <c r="I475" s="19">
        <v>47.0</v>
      </c>
      <c r="J475" s="19">
        <v>4.0</v>
      </c>
      <c r="K475" s="19">
        <v>3.7</v>
      </c>
      <c r="L475" s="19">
        <v>48.0</v>
      </c>
      <c r="M475" s="19">
        <v>51.0</v>
      </c>
      <c r="N475" s="19">
        <v>7.8</v>
      </c>
      <c r="O475" s="19" t="s">
        <v>143</v>
      </c>
      <c r="P475" s="19" t="s">
        <v>186</v>
      </c>
      <c r="Q475" s="20">
        <f t="shared" si="4"/>
        <v>1.444444444</v>
      </c>
      <c r="R475" s="20">
        <f t="shared" si="5"/>
        <v>0.9574468085</v>
      </c>
      <c r="S475" s="20">
        <f t="shared" si="6"/>
        <v>0.08510638298</v>
      </c>
      <c r="T475" s="20">
        <f t="shared" si="7"/>
        <v>0.9411764706</v>
      </c>
      <c r="U475" s="20">
        <f>IF(B475="","",MIN(Q475/Targets!$B$2,1)*Targets!$D$2+MIN(G475/100/Targets!$B$3,1)*Targets!$D$3+MIN(T475/Targets!$B$4,1)*Targets!$D$4+MIN(R475/Targets!$B$5,1)*Targets!$D$5+MIN(N475/Targets!$B$6,1)*Targets!$D$6+MIN(Targets!$B$7/MAX(S475,0.0001),1)*Targets!$D$7)</f>
        <v>0.6635648148</v>
      </c>
    </row>
    <row r="476">
      <c r="A476" s="18">
        <v>46247.0</v>
      </c>
      <c r="B476" s="19" t="s">
        <v>118</v>
      </c>
      <c r="C476" s="19" t="s">
        <v>169</v>
      </c>
      <c r="D476" s="19" t="s">
        <v>121</v>
      </c>
      <c r="E476" s="14">
        <f t="shared" si="1"/>
        <v>8</v>
      </c>
      <c r="F476" s="19">
        <f t="shared" si="2"/>
        <v>8</v>
      </c>
      <c r="G476" s="20">
        <f t="shared" si="3"/>
        <v>1</v>
      </c>
      <c r="H476" s="19">
        <v>43.0</v>
      </c>
      <c r="I476" s="19">
        <v>46.0</v>
      </c>
      <c r="J476" s="19">
        <v>2.0</v>
      </c>
      <c r="K476" s="19">
        <v>2.8</v>
      </c>
      <c r="L476" s="19">
        <v>56.0</v>
      </c>
      <c r="M476" s="19">
        <v>66.0</v>
      </c>
      <c r="N476" s="19">
        <v>8.0</v>
      </c>
      <c r="O476" s="19" t="s">
        <v>143</v>
      </c>
      <c r="P476" s="19" t="s">
        <v>144</v>
      </c>
      <c r="Q476" s="20">
        <f t="shared" si="4"/>
        <v>1</v>
      </c>
      <c r="R476" s="20">
        <f t="shared" si="5"/>
        <v>0.9347826087</v>
      </c>
      <c r="S476" s="20">
        <f t="shared" si="6"/>
        <v>0.04347826087</v>
      </c>
      <c r="T476" s="20">
        <f t="shared" si="7"/>
        <v>0.8484848485</v>
      </c>
      <c r="U476" s="20">
        <f>IF(B476="","",MIN(Q476/Targets!$B$2,1)*Targets!$D$2+MIN(G476/100/Targets!$B$3,1)*Targets!$D$3+MIN(T476/Targets!$B$4,1)*Targets!$D$4+MIN(R476/Targets!$B$5,1)*Targets!$D$5+MIN(N476/Targets!$B$6,1)*Targets!$D$6+MIN(Targets!$B$7/MAX(S476,0.0001),1)*Targets!$D$7)</f>
        <v>0.6923447288</v>
      </c>
    </row>
    <row r="477">
      <c r="A477" s="18">
        <v>46247.0</v>
      </c>
      <c r="B477" s="19" t="s">
        <v>123</v>
      </c>
      <c r="C477" s="19" t="s">
        <v>171</v>
      </c>
      <c r="D477" s="19" t="s">
        <v>121</v>
      </c>
      <c r="E477" s="14">
        <f t="shared" si="1"/>
        <v>8</v>
      </c>
      <c r="F477" s="19">
        <f t="shared" si="2"/>
        <v>6</v>
      </c>
      <c r="G477" s="20">
        <f t="shared" si="3"/>
        <v>0.75</v>
      </c>
      <c r="H477" s="19">
        <v>39.0</v>
      </c>
      <c r="I477" s="19">
        <v>41.0</v>
      </c>
      <c r="J477" s="19">
        <v>1.0</v>
      </c>
      <c r="K477" s="19">
        <v>2.7</v>
      </c>
      <c r="L477" s="19">
        <v>49.0</v>
      </c>
      <c r="M477" s="19">
        <v>51.0</v>
      </c>
      <c r="N477" s="19">
        <v>7.7</v>
      </c>
      <c r="O477" s="19" t="s">
        <v>143</v>
      </c>
      <c r="P477" s="19" t="s">
        <v>168</v>
      </c>
      <c r="Q477" s="20">
        <f t="shared" si="4"/>
        <v>0.75</v>
      </c>
      <c r="R477" s="20">
        <f t="shared" si="5"/>
        <v>0.9512195122</v>
      </c>
      <c r="S477" s="20">
        <f t="shared" si="6"/>
        <v>0.0243902439</v>
      </c>
      <c r="T477" s="20">
        <f t="shared" si="7"/>
        <v>0.9607843137</v>
      </c>
      <c r="U477" s="20">
        <f>IF(B477="","",MIN(Q477/Targets!$B$2,1)*Targets!$D$2+MIN(G477/100/Targets!$B$3,1)*Targets!$D$3+MIN(T477/Targets!$B$4,1)*Targets!$D$4+MIN(R477/Targets!$B$5,1)*Targets!$D$5+MIN(N477/Targets!$B$6,1)*Targets!$D$6+MIN(Targets!$B$7/MAX(S477,0.0001),1)*Targets!$D$7)</f>
        <v>0.6691666667</v>
      </c>
    </row>
    <row r="478">
      <c r="A478" s="18">
        <v>46247.0</v>
      </c>
      <c r="B478" s="19" t="s">
        <v>126</v>
      </c>
      <c r="C478" s="19" t="s">
        <v>179</v>
      </c>
      <c r="D478" s="19" t="s">
        <v>121</v>
      </c>
      <c r="E478" s="14">
        <f t="shared" si="1"/>
        <v>6</v>
      </c>
      <c r="F478" s="19">
        <f t="shared" si="2"/>
        <v>9</v>
      </c>
      <c r="G478" s="20">
        <f t="shared" si="3"/>
        <v>1.5</v>
      </c>
      <c r="H478" s="19">
        <v>39.0</v>
      </c>
      <c r="I478" s="19">
        <v>44.0</v>
      </c>
      <c r="J478" s="19">
        <v>3.0</v>
      </c>
      <c r="K478" s="19">
        <v>4.3</v>
      </c>
      <c r="L478" s="19">
        <v>52.0</v>
      </c>
      <c r="M478" s="19">
        <v>54.0</v>
      </c>
      <c r="N478" s="19">
        <v>7.0</v>
      </c>
      <c r="O478" s="19" t="s">
        <v>143</v>
      </c>
      <c r="P478" s="19" t="s">
        <v>144</v>
      </c>
      <c r="Q478" s="20">
        <f t="shared" si="4"/>
        <v>1.5</v>
      </c>
      <c r="R478" s="20">
        <f t="shared" si="5"/>
        <v>0.8863636364</v>
      </c>
      <c r="S478" s="20">
        <f t="shared" si="6"/>
        <v>0.06818181818</v>
      </c>
      <c r="T478" s="20">
        <f t="shared" si="7"/>
        <v>0.962962963</v>
      </c>
      <c r="U478" s="20">
        <f>IF(B478="","",MIN(Q478/Targets!$B$2,1)*Targets!$D$2+MIN(G478/100/Targets!$B$3,1)*Targets!$D$3+MIN(T478/Targets!$B$4,1)*Targets!$D$4+MIN(R478/Targets!$B$5,1)*Targets!$D$5+MIN(N478/Targets!$B$6,1)*Targets!$D$6+MIN(Targets!$B$7/MAX(S478,0.0001),1)*Targets!$D$7)</f>
        <v>0.6682854864</v>
      </c>
    </row>
    <row r="479">
      <c r="A479" s="18">
        <v>46247.0</v>
      </c>
      <c r="B479" s="19" t="s">
        <v>129</v>
      </c>
      <c r="C479" s="19" t="s">
        <v>188</v>
      </c>
      <c r="D479" s="19" t="s">
        <v>121</v>
      </c>
      <c r="E479" s="14">
        <f t="shared" si="1"/>
        <v>15</v>
      </c>
      <c r="F479" s="19">
        <f t="shared" si="2"/>
        <v>8</v>
      </c>
      <c r="G479" s="20">
        <f t="shared" si="3"/>
        <v>0.5333333333</v>
      </c>
      <c r="H479" s="19">
        <v>48.0</v>
      </c>
      <c r="I479" s="19">
        <v>48.0</v>
      </c>
      <c r="J479" s="19">
        <v>1.0</v>
      </c>
      <c r="K479" s="19">
        <v>1.6</v>
      </c>
      <c r="L479" s="19">
        <v>54.0</v>
      </c>
      <c r="M479" s="19">
        <v>57.0</v>
      </c>
      <c r="N479" s="19">
        <v>7.4</v>
      </c>
      <c r="O479" s="19" t="s">
        <v>143</v>
      </c>
      <c r="P479" s="19" t="s">
        <v>144</v>
      </c>
      <c r="Q479" s="20">
        <f t="shared" si="4"/>
        <v>0.5333333333</v>
      </c>
      <c r="R479" s="20">
        <f t="shared" si="5"/>
        <v>1</v>
      </c>
      <c r="S479" s="20">
        <f t="shared" si="6"/>
        <v>0.02083333333</v>
      </c>
      <c r="T479" s="20">
        <f t="shared" si="7"/>
        <v>0.9473684211</v>
      </c>
      <c r="U479" s="20">
        <f>IF(B479="","",MIN(Q479/Targets!$B$2,1)*Targets!$D$2+MIN(G479/100/Targets!$B$3,1)*Targets!$D$3+MIN(T479/Targets!$B$4,1)*Targets!$D$4+MIN(R479/Targets!$B$5,1)*Targets!$D$5+MIN(N479/Targets!$B$6,1)*Targets!$D$6+MIN(Targets!$B$7/MAX(S479,0.0001),1)*Targets!$D$7)</f>
        <v>0.6202962963</v>
      </c>
    </row>
    <row r="480">
      <c r="A480" s="18">
        <v>46247.0</v>
      </c>
      <c r="B480" s="19" t="s">
        <v>132</v>
      </c>
      <c r="C480" s="19" t="s">
        <v>190</v>
      </c>
      <c r="D480" s="19" t="s">
        <v>121</v>
      </c>
      <c r="E480" s="14">
        <f t="shared" si="1"/>
        <v>8</v>
      </c>
      <c r="F480" s="19">
        <f t="shared" si="2"/>
        <v>6</v>
      </c>
      <c r="G480" s="20">
        <f t="shared" si="3"/>
        <v>0.75</v>
      </c>
      <c r="H480" s="19">
        <v>46.0</v>
      </c>
      <c r="I480" s="19">
        <v>49.0</v>
      </c>
      <c r="J480" s="19">
        <v>3.0</v>
      </c>
      <c r="K480" s="19">
        <v>3.9</v>
      </c>
      <c r="L480" s="19">
        <v>47.0</v>
      </c>
      <c r="M480" s="19">
        <v>52.0</v>
      </c>
      <c r="N480" s="19">
        <v>7.8</v>
      </c>
      <c r="O480" s="19" t="s">
        <v>143</v>
      </c>
      <c r="P480" s="19" t="s">
        <v>144</v>
      </c>
      <c r="Q480" s="20">
        <f t="shared" si="4"/>
        <v>0.75</v>
      </c>
      <c r="R480" s="20">
        <f t="shared" si="5"/>
        <v>0.9387755102</v>
      </c>
      <c r="S480" s="20">
        <f t="shared" si="6"/>
        <v>0.0612244898</v>
      </c>
      <c r="T480" s="20">
        <f t="shared" si="7"/>
        <v>0.9038461538</v>
      </c>
      <c r="U480" s="20">
        <f>IF(B480="","",MIN(Q480/Targets!$B$2,1)*Targets!$D$2+MIN(G480/100/Targets!$B$3,1)*Targets!$D$3+MIN(T480/Targets!$B$4,1)*Targets!$D$4+MIN(R480/Targets!$B$5,1)*Targets!$D$5+MIN(N480/Targets!$B$6,1)*Targets!$D$6+MIN(Targets!$B$7/MAX(S480,0.0001),1)*Targets!$D$7)</f>
        <v>0.6490610455</v>
      </c>
    </row>
    <row r="481">
      <c r="A481" s="18">
        <v>46247.0</v>
      </c>
      <c r="B481" s="19" t="s">
        <v>135</v>
      </c>
      <c r="C481" s="19" t="s">
        <v>169</v>
      </c>
      <c r="D481" s="19" t="s">
        <v>121</v>
      </c>
      <c r="E481" s="14">
        <f t="shared" si="1"/>
        <v>7</v>
      </c>
      <c r="F481" s="19">
        <f t="shared" si="2"/>
        <v>6</v>
      </c>
      <c r="G481" s="20">
        <f t="shared" si="3"/>
        <v>0.8571428571</v>
      </c>
      <c r="H481" s="19">
        <v>35.0</v>
      </c>
      <c r="I481" s="19">
        <v>37.0</v>
      </c>
      <c r="J481" s="19">
        <v>2.0</v>
      </c>
      <c r="K481" s="19">
        <v>3.3</v>
      </c>
      <c r="L481" s="19">
        <v>49.0</v>
      </c>
      <c r="M481" s="19">
        <v>57.0</v>
      </c>
      <c r="N481" s="19">
        <v>7.6</v>
      </c>
      <c r="O481" s="19" t="s">
        <v>143</v>
      </c>
      <c r="P481" s="19" t="s">
        <v>187</v>
      </c>
      <c r="Q481" s="20">
        <f t="shared" si="4"/>
        <v>0.8571428571</v>
      </c>
      <c r="R481" s="20">
        <f t="shared" si="5"/>
        <v>0.9459459459</v>
      </c>
      <c r="S481" s="20">
        <f t="shared" si="6"/>
        <v>0.05405405405</v>
      </c>
      <c r="T481" s="20">
        <f t="shared" si="7"/>
        <v>0.8596491228</v>
      </c>
      <c r="U481" s="20">
        <f>IF(B481="","",MIN(Q481/Targets!$B$2,1)*Targets!$D$2+MIN(G481/100/Targets!$B$3,1)*Targets!$D$3+MIN(T481/Targets!$B$4,1)*Targets!$D$4+MIN(R481/Targets!$B$5,1)*Targets!$D$5+MIN(N481/Targets!$B$6,1)*Targets!$D$6+MIN(Targets!$B$7/MAX(S481,0.0001),1)*Targets!$D$7)</f>
        <v>0.6784680733</v>
      </c>
    </row>
    <row r="482">
      <c r="A482" s="18">
        <v>46248.0</v>
      </c>
      <c r="B482" s="19" t="s">
        <v>10</v>
      </c>
      <c r="C482" s="19" t="s">
        <v>14</v>
      </c>
      <c r="D482" s="19" t="s">
        <v>121</v>
      </c>
      <c r="E482" s="14">
        <f t="shared" si="1"/>
        <v>15</v>
      </c>
      <c r="F482" s="19">
        <f t="shared" si="2"/>
        <v>12</v>
      </c>
      <c r="G482" s="20">
        <f t="shared" si="3"/>
        <v>0.8</v>
      </c>
      <c r="H482" s="19">
        <v>35.0</v>
      </c>
      <c r="I482" s="19">
        <v>39.0</v>
      </c>
      <c r="J482" s="19">
        <v>1.0</v>
      </c>
      <c r="K482" s="19">
        <v>2.5</v>
      </c>
      <c r="L482" s="19">
        <v>50.0</v>
      </c>
      <c r="M482" s="19">
        <v>58.0</v>
      </c>
      <c r="N482" s="19">
        <v>7.4</v>
      </c>
      <c r="O482" s="19" t="s">
        <v>143</v>
      </c>
      <c r="P482" s="19" t="s">
        <v>144</v>
      </c>
      <c r="Q482" s="20">
        <f t="shared" si="4"/>
        <v>0.8</v>
      </c>
      <c r="R482" s="20">
        <f t="shared" si="5"/>
        <v>0.8974358974</v>
      </c>
      <c r="S482" s="20">
        <f t="shared" si="6"/>
        <v>0.02564102564</v>
      </c>
      <c r="T482" s="20">
        <f t="shared" si="7"/>
        <v>0.8620689655</v>
      </c>
      <c r="U482" s="20">
        <f>IF(B482="","",MIN(Q482/Targets!$B$2,1)*Targets!$D$2+MIN(G482/100/Targets!$B$3,1)*Targets!$D$3+MIN(T482/Targets!$B$4,1)*Targets!$D$4+MIN(R482/Targets!$B$5,1)*Targets!$D$5+MIN(N482/Targets!$B$6,1)*Targets!$D$6+MIN(Targets!$B$7/MAX(S482,0.0001),1)*Targets!$D$7)</f>
        <v>0.6658230102</v>
      </c>
    </row>
    <row r="483">
      <c r="A483" s="18">
        <v>46248.0</v>
      </c>
      <c r="B483" s="19" t="s">
        <v>25</v>
      </c>
      <c r="C483" s="19" t="s">
        <v>167</v>
      </c>
      <c r="D483" s="19" t="s">
        <v>121</v>
      </c>
      <c r="E483" s="14">
        <f t="shared" si="1"/>
        <v>11</v>
      </c>
      <c r="F483" s="19">
        <f t="shared" si="2"/>
        <v>6</v>
      </c>
      <c r="G483" s="20">
        <f t="shared" si="3"/>
        <v>0.5454545455</v>
      </c>
      <c r="H483" s="19">
        <v>37.0</v>
      </c>
      <c r="I483" s="19">
        <v>42.0</v>
      </c>
      <c r="J483" s="19">
        <v>3.0</v>
      </c>
      <c r="K483" s="19">
        <v>2.7</v>
      </c>
      <c r="L483" s="19">
        <v>50.0</v>
      </c>
      <c r="M483" s="19">
        <v>62.0</v>
      </c>
      <c r="N483" s="19">
        <v>7.4</v>
      </c>
      <c r="O483" s="19" t="s">
        <v>143</v>
      </c>
      <c r="P483" s="19" t="s">
        <v>144</v>
      </c>
      <c r="Q483" s="20">
        <f t="shared" si="4"/>
        <v>0.5454545455</v>
      </c>
      <c r="R483" s="20">
        <f t="shared" si="5"/>
        <v>0.880952381</v>
      </c>
      <c r="S483" s="20">
        <f t="shared" si="6"/>
        <v>0.07142857143</v>
      </c>
      <c r="T483" s="20">
        <f t="shared" si="7"/>
        <v>0.8064516129</v>
      </c>
      <c r="U483" s="20">
        <f>IF(B483="","",MIN(Q483/Targets!$B$2,1)*Targets!$D$2+MIN(G483/100/Targets!$B$3,1)*Targets!$D$3+MIN(T483/Targets!$B$4,1)*Targets!$D$4+MIN(R483/Targets!$B$5,1)*Targets!$D$5+MIN(N483/Targets!$B$6,1)*Targets!$D$6+MIN(Targets!$B$7/MAX(S483,0.0001),1)*Targets!$D$7)</f>
        <v>0.5665366495</v>
      </c>
    </row>
    <row r="484">
      <c r="A484" s="18">
        <v>46248.0</v>
      </c>
      <c r="B484" s="19" t="s">
        <v>37</v>
      </c>
      <c r="C484" s="19" t="s">
        <v>169</v>
      </c>
      <c r="D484" s="19" t="s">
        <v>121</v>
      </c>
      <c r="E484" s="14">
        <f t="shared" si="1"/>
        <v>15</v>
      </c>
      <c r="F484" s="19">
        <f t="shared" si="2"/>
        <v>15</v>
      </c>
      <c r="G484" s="20">
        <f t="shared" si="3"/>
        <v>1</v>
      </c>
      <c r="H484" s="19">
        <v>48.0</v>
      </c>
      <c r="I484" s="19">
        <v>51.0</v>
      </c>
      <c r="J484" s="19">
        <v>2.0</v>
      </c>
      <c r="K484" s="19">
        <v>2.4</v>
      </c>
      <c r="L484" s="19">
        <v>53.0</v>
      </c>
      <c r="M484" s="19">
        <v>55.0</v>
      </c>
      <c r="N484" s="19">
        <v>8.3</v>
      </c>
      <c r="O484" s="19" t="s">
        <v>143</v>
      </c>
      <c r="P484" s="19" t="s">
        <v>191</v>
      </c>
      <c r="Q484" s="20">
        <f t="shared" si="4"/>
        <v>1</v>
      </c>
      <c r="R484" s="20">
        <f t="shared" si="5"/>
        <v>0.9411764706</v>
      </c>
      <c r="S484" s="20">
        <f t="shared" si="6"/>
        <v>0.03921568627</v>
      </c>
      <c r="T484" s="20">
        <f t="shared" si="7"/>
        <v>0.9636363636</v>
      </c>
      <c r="U484" s="20">
        <f>IF(B484="","",MIN(Q484/Targets!$B$2,1)*Targets!$D$2+MIN(G484/100/Targets!$B$3,1)*Targets!$D$3+MIN(T484/Targets!$B$4,1)*Targets!$D$4+MIN(R484/Targets!$B$5,1)*Targets!$D$5+MIN(N484/Targets!$B$6,1)*Targets!$D$6+MIN(Targets!$B$7/MAX(S484,0.0001),1)*Targets!$D$7)</f>
        <v>0.7019401445</v>
      </c>
    </row>
    <row r="485">
      <c r="A485" s="18">
        <v>46248.0</v>
      </c>
      <c r="B485" s="19" t="s">
        <v>42</v>
      </c>
      <c r="C485" s="19" t="s">
        <v>171</v>
      </c>
      <c r="D485" s="19" t="s">
        <v>121</v>
      </c>
      <c r="E485" s="14">
        <f t="shared" si="1"/>
        <v>16</v>
      </c>
      <c r="F485" s="19">
        <f t="shared" si="2"/>
        <v>9</v>
      </c>
      <c r="G485" s="20">
        <f t="shared" si="3"/>
        <v>0.5625</v>
      </c>
      <c r="H485" s="19">
        <v>33.0</v>
      </c>
      <c r="I485" s="19">
        <v>38.0</v>
      </c>
      <c r="J485" s="19">
        <v>2.0</v>
      </c>
      <c r="K485" s="19">
        <v>3.5</v>
      </c>
      <c r="L485" s="19">
        <v>44.0</v>
      </c>
      <c r="M485" s="19">
        <v>53.0</v>
      </c>
      <c r="N485" s="19">
        <v>7.8</v>
      </c>
      <c r="O485" s="19" t="s">
        <v>143</v>
      </c>
      <c r="P485" s="19" t="s">
        <v>191</v>
      </c>
      <c r="Q485" s="20">
        <f t="shared" si="4"/>
        <v>0.5625</v>
      </c>
      <c r="R485" s="20">
        <f t="shared" si="5"/>
        <v>0.8684210526</v>
      </c>
      <c r="S485" s="20">
        <f t="shared" si="6"/>
        <v>0.05263157895</v>
      </c>
      <c r="T485" s="20">
        <f t="shared" si="7"/>
        <v>0.8301886792</v>
      </c>
      <c r="U485" s="20">
        <f>IF(B485="","",MIN(Q485/Targets!$B$2,1)*Targets!$D$2+MIN(G485/100/Targets!$B$3,1)*Targets!$D$3+MIN(T485/Targets!$B$4,1)*Targets!$D$4+MIN(R485/Targets!$B$5,1)*Targets!$D$5+MIN(N485/Targets!$B$6,1)*Targets!$D$6+MIN(Targets!$B$7/MAX(S485,0.0001),1)*Targets!$D$7)</f>
        <v>0.5973588934</v>
      </c>
    </row>
    <row r="486">
      <c r="A486" s="18">
        <v>46248.0</v>
      </c>
      <c r="B486" s="19" t="s">
        <v>46</v>
      </c>
      <c r="C486" s="19" t="s">
        <v>179</v>
      </c>
      <c r="D486" s="19" t="s">
        <v>121</v>
      </c>
      <c r="E486" s="14">
        <f t="shared" si="1"/>
        <v>12</v>
      </c>
      <c r="F486" s="19">
        <f t="shared" si="2"/>
        <v>6</v>
      </c>
      <c r="G486" s="20">
        <f t="shared" si="3"/>
        <v>0.5</v>
      </c>
      <c r="H486" s="19">
        <v>35.0</v>
      </c>
      <c r="I486" s="19">
        <v>42.0</v>
      </c>
      <c r="J486" s="19">
        <v>2.0</v>
      </c>
      <c r="K486" s="19">
        <v>5.3</v>
      </c>
      <c r="L486" s="19">
        <v>42.0</v>
      </c>
      <c r="M486" s="19">
        <v>53.0</v>
      </c>
      <c r="N486" s="19">
        <v>5.4</v>
      </c>
      <c r="O486" s="19" t="s">
        <v>143</v>
      </c>
      <c r="P486" s="19" t="s">
        <v>189</v>
      </c>
      <c r="Q486" s="20">
        <f t="shared" si="4"/>
        <v>0.5</v>
      </c>
      <c r="R486" s="20">
        <f t="shared" si="5"/>
        <v>0.8333333333</v>
      </c>
      <c r="S486" s="20">
        <f t="shared" si="6"/>
        <v>0.04761904762</v>
      </c>
      <c r="T486" s="20">
        <f t="shared" si="7"/>
        <v>0.7924528302</v>
      </c>
      <c r="U486" s="20">
        <f>IF(B486="","",MIN(Q486/Targets!$B$2,1)*Targets!$D$2+MIN(G486/100/Targets!$B$3,1)*Targets!$D$3+MIN(T486/Targets!$B$4,1)*Targets!$D$4+MIN(R486/Targets!$B$5,1)*Targets!$D$5+MIN(N486/Targets!$B$6,1)*Targets!$D$6+MIN(Targets!$B$7/MAX(S486,0.0001),1)*Targets!$D$7)</f>
        <v>0.553575054</v>
      </c>
    </row>
    <row r="487">
      <c r="A487" s="18">
        <v>46248.0</v>
      </c>
      <c r="B487" s="19" t="s">
        <v>53</v>
      </c>
      <c r="C487" s="19" t="s">
        <v>14</v>
      </c>
      <c r="D487" s="19" t="s">
        <v>121</v>
      </c>
      <c r="E487" s="14">
        <f t="shared" si="1"/>
        <v>7</v>
      </c>
      <c r="F487" s="19">
        <f t="shared" si="2"/>
        <v>15</v>
      </c>
      <c r="G487" s="20">
        <f t="shared" si="3"/>
        <v>2.142857143</v>
      </c>
      <c r="H487" s="19">
        <v>29.0</v>
      </c>
      <c r="I487" s="19">
        <v>32.0</v>
      </c>
      <c r="J487" s="19">
        <v>1.0</v>
      </c>
      <c r="K487" s="19">
        <v>3.6</v>
      </c>
      <c r="L487" s="19">
        <v>40.0</v>
      </c>
      <c r="M487" s="19">
        <v>44.0</v>
      </c>
      <c r="N487" s="19">
        <v>6.5</v>
      </c>
      <c r="O487" s="19" t="s">
        <v>143</v>
      </c>
      <c r="P487" s="19" t="s">
        <v>178</v>
      </c>
      <c r="Q487" s="20">
        <f t="shared" si="4"/>
        <v>2.142857143</v>
      </c>
      <c r="R487" s="20">
        <f t="shared" si="5"/>
        <v>0.90625</v>
      </c>
      <c r="S487" s="20">
        <f t="shared" si="6"/>
        <v>0.03125</v>
      </c>
      <c r="T487" s="20">
        <f t="shared" si="7"/>
        <v>0.9090909091</v>
      </c>
      <c r="U487" s="20">
        <f>IF(B487="","",MIN(Q487/Targets!$B$2,1)*Targets!$D$2+MIN(G487/100/Targets!$B$3,1)*Targets!$D$3+MIN(T487/Targets!$B$4,1)*Targets!$D$4+MIN(R487/Targets!$B$5,1)*Targets!$D$5+MIN(N487/Targets!$B$6,1)*Targets!$D$6+MIN(Targets!$B$7/MAX(S487,0.0001),1)*Targets!$D$7)</f>
        <v>0.6930921053</v>
      </c>
    </row>
    <row r="488">
      <c r="A488" s="18">
        <v>46248.0</v>
      </c>
      <c r="B488" s="19" t="s">
        <v>65</v>
      </c>
      <c r="C488" s="19" t="s">
        <v>167</v>
      </c>
      <c r="D488" s="19" t="s">
        <v>121</v>
      </c>
      <c r="E488" s="14">
        <f t="shared" si="1"/>
        <v>12</v>
      </c>
      <c r="F488" s="19">
        <f t="shared" si="2"/>
        <v>11</v>
      </c>
      <c r="G488" s="20">
        <f t="shared" si="3"/>
        <v>0.9166666667</v>
      </c>
      <c r="H488" s="19">
        <v>33.0</v>
      </c>
      <c r="I488" s="19">
        <v>35.0</v>
      </c>
      <c r="J488" s="19">
        <v>2.0</v>
      </c>
      <c r="K488" s="19">
        <v>2.7</v>
      </c>
      <c r="L488" s="19">
        <v>42.0</v>
      </c>
      <c r="M488" s="19">
        <v>53.0</v>
      </c>
      <c r="N488" s="19">
        <v>7.1</v>
      </c>
      <c r="O488" s="19" t="s">
        <v>143</v>
      </c>
      <c r="P488" s="19" t="s">
        <v>191</v>
      </c>
      <c r="Q488" s="20">
        <f t="shared" si="4"/>
        <v>0.9166666667</v>
      </c>
      <c r="R488" s="20">
        <f t="shared" si="5"/>
        <v>0.9428571429</v>
      </c>
      <c r="S488" s="20">
        <f t="shared" si="6"/>
        <v>0.05714285714</v>
      </c>
      <c r="T488" s="20">
        <f t="shared" si="7"/>
        <v>0.7924528302</v>
      </c>
      <c r="U488" s="20">
        <f>IF(B488="","",MIN(Q488/Targets!$B$2,1)*Targets!$D$2+MIN(G488/100/Targets!$B$3,1)*Targets!$D$3+MIN(T488/Targets!$B$4,1)*Targets!$D$4+MIN(R488/Targets!$B$5,1)*Targets!$D$5+MIN(N488/Targets!$B$6,1)*Targets!$D$6+MIN(Targets!$B$7/MAX(S488,0.0001),1)*Targets!$D$7)</f>
        <v>0.6715032077</v>
      </c>
    </row>
    <row r="489">
      <c r="A489" s="18">
        <v>46248.0</v>
      </c>
      <c r="B489" s="19" t="s">
        <v>73</v>
      </c>
      <c r="C489" s="19" t="s">
        <v>169</v>
      </c>
      <c r="D489" s="19" t="s">
        <v>121</v>
      </c>
      <c r="E489" s="14">
        <f t="shared" si="1"/>
        <v>10</v>
      </c>
      <c r="F489" s="19">
        <f t="shared" si="2"/>
        <v>6</v>
      </c>
      <c r="G489" s="20">
        <f t="shared" si="3"/>
        <v>0.6</v>
      </c>
      <c r="H489" s="19">
        <v>54.0</v>
      </c>
      <c r="I489" s="19">
        <v>56.0</v>
      </c>
      <c r="J489" s="19">
        <v>2.0</v>
      </c>
      <c r="K489" s="19">
        <v>1.7</v>
      </c>
      <c r="L489" s="19">
        <v>59.0</v>
      </c>
      <c r="M489" s="19">
        <v>66.0</v>
      </c>
      <c r="N489" s="19">
        <v>8.1</v>
      </c>
      <c r="O489" s="19" t="s">
        <v>143</v>
      </c>
      <c r="P489" s="19" t="s">
        <v>189</v>
      </c>
      <c r="Q489" s="20">
        <f t="shared" si="4"/>
        <v>0.6</v>
      </c>
      <c r="R489" s="20">
        <f t="shared" si="5"/>
        <v>0.9642857143</v>
      </c>
      <c r="S489" s="20">
        <f t="shared" si="6"/>
        <v>0.03571428571</v>
      </c>
      <c r="T489" s="20">
        <f t="shared" si="7"/>
        <v>0.8939393939</v>
      </c>
      <c r="U489" s="20">
        <f>IF(B489="","",MIN(Q489/Targets!$B$2,1)*Targets!$D$2+MIN(G489/100/Targets!$B$3,1)*Targets!$D$3+MIN(T489/Targets!$B$4,1)*Targets!$D$4+MIN(R489/Targets!$B$5,1)*Targets!$D$5+MIN(N489/Targets!$B$6,1)*Targets!$D$6+MIN(Targets!$B$7/MAX(S489,0.0001),1)*Targets!$D$7)</f>
        <v>0.6343232323</v>
      </c>
    </row>
    <row r="490">
      <c r="A490" s="18">
        <v>46248.0</v>
      </c>
      <c r="B490" s="19" t="s">
        <v>78</v>
      </c>
      <c r="C490" s="19" t="s">
        <v>171</v>
      </c>
      <c r="D490" s="19" t="s">
        <v>121</v>
      </c>
      <c r="E490" s="14">
        <f t="shared" si="1"/>
        <v>11</v>
      </c>
      <c r="F490" s="19">
        <f t="shared" si="2"/>
        <v>14</v>
      </c>
      <c r="G490" s="20">
        <f t="shared" si="3"/>
        <v>1.272727273</v>
      </c>
      <c r="H490" s="19">
        <v>21.0</v>
      </c>
      <c r="I490" s="19">
        <v>24.0</v>
      </c>
      <c r="J490" s="19">
        <v>1.0</v>
      </c>
      <c r="K490" s="19">
        <v>6.0</v>
      </c>
      <c r="L490" s="19">
        <v>32.0</v>
      </c>
      <c r="M490" s="19">
        <v>39.0</v>
      </c>
      <c r="N490" s="19">
        <v>6.3</v>
      </c>
      <c r="O490" s="19" t="s">
        <v>143</v>
      </c>
      <c r="P490" s="19" t="s">
        <v>189</v>
      </c>
      <c r="Q490" s="20">
        <f t="shared" si="4"/>
        <v>1.272727273</v>
      </c>
      <c r="R490" s="20">
        <f t="shared" si="5"/>
        <v>0.875</v>
      </c>
      <c r="S490" s="20">
        <f t="shared" si="6"/>
        <v>0.04166666667</v>
      </c>
      <c r="T490" s="20">
        <f t="shared" si="7"/>
        <v>0.8205128205</v>
      </c>
      <c r="U490" s="20">
        <f>IF(B490="","",MIN(Q490/Targets!$B$2,1)*Targets!$D$2+MIN(G490/100/Targets!$B$3,1)*Targets!$D$3+MIN(T490/Targets!$B$4,1)*Targets!$D$4+MIN(R490/Targets!$B$5,1)*Targets!$D$5+MIN(N490/Targets!$B$6,1)*Targets!$D$6+MIN(Targets!$B$7/MAX(S490,0.0001),1)*Targets!$D$7)</f>
        <v>0.6691524557</v>
      </c>
    </row>
    <row r="491">
      <c r="A491" s="18">
        <v>46248.0</v>
      </c>
      <c r="B491" s="19" t="s">
        <v>84</v>
      </c>
      <c r="C491" s="19" t="s">
        <v>179</v>
      </c>
      <c r="D491" s="19" t="s">
        <v>121</v>
      </c>
      <c r="E491" s="14">
        <f t="shared" si="1"/>
        <v>7</v>
      </c>
      <c r="F491" s="19">
        <f t="shared" si="2"/>
        <v>9</v>
      </c>
      <c r="G491" s="20">
        <f t="shared" si="3"/>
        <v>1.285714286</v>
      </c>
      <c r="H491" s="19">
        <v>38.0</v>
      </c>
      <c r="I491" s="19">
        <v>43.0</v>
      </c>
      <c r="J491" s="19">
        <v>3.0</v>
      </c>
      <c r="K491" s="19">
        <v>2.9</v>
      </c>
      <c r="L491" s="19">
        <v>55.0</v>
      </c>
      <c r="M491" s="19">
        <v>57.0</v>
      </c>
      <c r="N491" s="19">
        <v>7.9</v>
      </c>
      <c r="O491" s="19" t="s">
        <v>143</v>
      </c>
      <c r="P491" s="19" t="s">
        <v>187</v>
      </c>
      <c r="Q491" s="20">
        <f t="shared" si="4"/>
        <v>1.285714286</v>
      </c>
      <c r="R491" s="20">
        <f t="shared" si="5"/>
        <v>0.8837209302</v>
      </c>
      <c r="S491" s="20">
        <f t="shared" si="6"/>
        <v>0.06976744186</v>
      </c>
      <c r="T491" s="20">
        <f t="shared" si="7"/>
        <v>0.9649122807</v>
      </c>
      <c r="U491" s="20">
        <f>IF(B491="","",MIN(Q491/Targets!$B$2,1)*Targets!$D$2+MIN(G491/100/Targets!$B$3,1)*Targets!$D$3+MIN(T491/Targets!$B$4,1)*Targets!$D$4+MIN(R491/Targets!$B$5,1)*Targets!$D$5+MIN(N491/Targets!$B$6,1)*Targets!$D$6+MIN(Targets!$B$7/MAX(S491,0.0001),1)*Targets!$D$7)</f>
        <v>0.6654872647</v>
      </c>
    </row>
    <row r="492">
      <c r="A492" s="18">
        <v>46248.0</v>
      </c>
      <c r="B492" s="19" t="s">
        <v>91</v>
      </c>
      <c r="C492" s="19" t="s">
        <v>188</v>
      </c>
      <c r="D492" s="19" t="s">
        <v>121</v>
      </c>
      <c r="E492" s="14">
        <f t="shared" si="1"/>
        <v>11</v>
      </c>
      <c r="F492" s="19">
        <f t="shared" si="2"/>
        <v>11</v>
      </c>
      <c r="G492" s="20">
        <f t="shared" si="3"/>
        <v>1</v>
      </c>
      <c r="H492" s="19">
        <v>46.0</v>
      </c>
      <c r="I492" s="19">
        <v>50.0</v>
      </c>
      <c r="J492" s="19">
        <v>1.0</v>
      </c>
      <c r="K492" s="19">
        <v>2.1</v>
      </c>
      <c r="L492" s="19">
        <v>55.0</v>
      </c>
      <c r="M492" s="19">
        <v>64.0</v>
      </c>
      <c r="N492" s="19">
        <v>7.8</v>
      </c>
      <c r="O492" s="19" t="s">
        <v>143</v>
      </c>
      <c r="P492" s="19" t="s">
        <v>168</v>
      </c>
      <c r="Q492" s="20">
        <f t="shared" si="4"/>
        <v>1</v>
      </c>
      <c r="R492" s="20">
        <f t="shared" si="5"/>
        <v>0.92</v>
      </c>
      <c r="S492" s="20">
        <f t="shared" si="6"/>
        <v>0.02</v>
      </c>
      <c r="T492" s="20">
        <f t="shared" si="7"/>
        <v>0.859375</v>
      </c>
      <c r="U492" s="20">
        <f>IF(B492="","",MIN(Q492/Targets!$B$2,1)*Targets!$D$2+MIN(G492/100/Targets!$B$3,1)*Targets!$D$3+MIN(T492/Targets!$B$4,1)*Targets!$D$4+MIN(R492/Targets!$B$5,1)*Targets!$D$5+MIN(N492/Targets!$B$6,1)*Targets!$D$6+MIN(Targets!$B$7/MAX(S492,0.0001),1)*Targets!$D$7)</f>
        <v>0.6918256579</v>
      </c>
    </row>
    <row r="493">
      <c r="A493" s="18">
        <v>46248.0</v>
      </c>
      <c r="B493" s="19" t="s">
        <v>100</v>
      </c>
      <c r="C493" s="19" t="s">
        <v>190</v>
      </c>
      <c r="D493" s="19" t="s">
        <v>121</v>
      </c>
      <c r="E493" s="14">
        <f t="shared" si="1"/>
        <v>16</v>
      </c>
      <c r="F493" s="19">
        <f t="shared" si="2"/>
        <v>7</v>
      </c>
      <c r="G493" s="20">
        <f t="shared" si="3"/>
        <v>0.4375</v>
      </c>
      <c r="H493" s="19">
        <v>26.0</v>
      </c>
      <c r="I493" s="19">
        <v>27.0</v>
      </c>
      <c r="J493" s="19">
        <v>1.0</v>
      </c>
      <c r="K493" s="19">
        <v>3.9</v>
      </c>
      <c r="L493" s="19">
        <v>37.0</v>
      </c>
      <c r="M493" s="19">
        <v>49.0</v>
      </c>
      <c r="N493" s="19">
        <v>6.6</v>
      </c>
      <c r="O493" s="19" t="s">
        <v>143</v>
      </c>
      <c r="P493" s="19" t="s">
        <v>189</v>
      </c>
      <c r="Q493" s="20">
        <f t="shared" si="4"/>
        <v>0.4375</v>
      </c>
      <c r="R493" s="20">
        <f t="shared" si="5"/>
        <v>0.962962963</v>
      </c>
      <c r="S493" s="20">
        <f t="shared" si="6"/>
        <v>0.03703703704</v>
      </c>
      <c r="T493" s="20">
        <f t="shared" si="7"/>
        <v>0.7551020408</v>
      </c>
      <c r="U493" s="20">
        <f>IF(B493="","",MIN(Q493/Targets!$B$2,1)*Targets!$D$2+MIN(G493/100/Targets!$B$3,1)*Targets!$D$3+MIN(T493/Targets!$B$4,1)*Targets!$D$4+MIN(R493/Targets!$B$5,1)*Targets!$D$5+MIN(N493/Targets!$B$6,1)*Targets!$D$6+MIN(Targets!$B$7/MAX(S493,0.0001),1)*Targets!$D$7)</f>
        <v>0.56881661</v>
      </c>
    </row>
    <row r="494">
      <c r="A494" s="18">
        <v>46248.0</v>
      </c>
      <c r="B494" s="19" t="s">
        <v>109</v>
      </c>
      <c r="C494" s="19" t="s">
        <v>14</v>
      </c>
      <c r="D494" s="19" t="s">
        <v>121</v>
      </c>
      <c r="E494" s="14">
        <f t="shared" si="1"/>
        <v>10</v>
      </c>
      <c r="F494" s="19">
        <f t="shared" si="2"/>
        <v>14</v>
      </c>
      <c r="G494" s="20">
        <f t="shared" si="3"/>
        <v>1.4</v>
      </c>
      <c r="H494" s="19">
        <v>38.0</v>
      </c>
      <c r="I494" s="19">
        <v>43.0</v>
      </c>
      <c r="J494" s="19">
        <v>1.0</v>
      </c>
      <c r="K494" s="19">
        <v>4.4</v>
      </c>
      <c r="L494" s="19">
        <v>50.0</v>
      </c>
      <c r="M494" s="19">
        <v>61.0</v>
      </c>
      <c r="N494" s="19">
        <v>7.2</v>
      </c>
      <c r="O494" s="19" t="s">
        <v>143</v>
      </c>
      <c r="P494" s="19" t="s">
        <v>189</v>
      </c>
      <c r="Q494" s="20">
        <f t="shared" si="4"/>
        <v>1.4</v>
      </c>
      <c r="R494" s="20">
        <f t="shared" si="5"/>
        <v>0.8837209302</v>
      </c>
      <c r="S494" s="20">
        <f t="shared" si="6"/>
        <v>0.02325581395</v>
      </c>
      <c r="T494" s="20">
        <f t="shared" si="7"/>
        <v>0.8196721311</v>
      </c>
      <c r="U494" s="20">
        <f>IF(B494="","",MIN(Q494/Targets!$B$2,1)*Targets!$D$2+MIN(G494/100/Targets!$B$3,1)*Targets!$D$3+MIN(T494/Targets!$B$4,1)*Targets!$D$4+MIN(R494/Targets!$B$5,1)*Targets!$D$5+MIN(N494/Targets!$B$6,1)*Targets!$D$6+MIN(Targets!$B$7/MAX(S494,0.0001),1)*Targets!$D$7)</f>
        <v>0.6808135722</v>
      </c>
    </row>
    <row r="495">
      <c r="A495" s="18">
        <v>46248.0</v>
      </c>
      <c r="B495" s="19" t="s">
        <v>115</v>
      </c>
      <c r="C495" s="19" t="s">
        <v>167</v>
      </c>
      <c r="D495" s="19" t="s">
        <v>121</v>
      </c>
      <c r="E495" s="14">
        <f t="shared" si="1"/>
        <v>7</v>
      </c>
      <c r="F495" s="19">
        <f t="shared" si="2"/>
        <v>12</v>
      </c>
      <c r="G495" s="20">
        <f t="shared" si="3"/>
        <v>1.714285714</v>
      </c>
      <c r="H495" s="19">
        <v>30.0</v>
      </c>
      <c r="I495" s="19">
        <v>33.0</v>
      </c>
      <c r="J495" s="19">
        <v>3.0</v>
      </c>
      <c r="K495" s="19">
        <v>3.1</v>
      </c>
      <c r="L495" s="19">
        <v>37.0</v>
      </c>
      <c r="M495" s="19">
        <v>43.0</v>
      </c>
      <c r="N495" s="19">
        <v>7.6</v>
      </c>
      <c r="O495" s="19" t="s">
        <v>143</v>
      </c>
      <c r="P495" s="19" t="s">
        <v>186</v>
      </c>
      <c r="Q495" s="20">
        <f t="shared" si="4"/>
        <v>1.714285714</v>
      </c>
      <c r="R495" s="20">
        <f t="shared" si="5"/>
        <v>0.9090909091</v>
      </c>
      <c r="S495" s="20">
        <f t="shared" si="6"/>
        <v>0.09090909091</v>
      </c>
      <c r="T495" s="20">
        <f t="shared" si="7"/>
        <v>0.8604651163</v>
      </c>
      <c r="U495" s="20">
        <f>IF(B495="","",MIN(Q495/Targets!$B$2,1)*Targets!$D$2+MIN(G495/100/Targets!$B$3,1)*Targets!$D$3+MIN(T495/Targets!$B$4,1)*Targets!$D$4+MIN(R495/Targets!$B$5,1)*Targets!$D$5+MIN(N495/Targets!$B$6,1)*Targets!$D$6+MIN(Targets!$B$7/MAX(S495,0.0001),1)*Targets!$D$7)</f>
        <v>0.6476658083</v>
      </c>
    </row>
    <row r="496">
      <c r="A496" s="18">
        <v>46248.0</v>
      </c>
      <c r="B496" s="19" t="s">
        <v>118</v>
      </c>
      <c r="C496" s="19" t="s">
        <v>169</v>
      </c>
      <c r="D496" s="19" t="s">
        <v>121</v>
      </c>
      <c r="E496" s="14">
        <f t="shared" si="1"/>
        <v>12</v>
      </c>
      <c r="F496" s="19">
        <f t="shared" si="2"/>
        <v>14</v>
      </c>
      <c r="G496" s="20">
        <f t="shared" si="3"/>
        <v>1.166666667</v>
      </c>
      <c r="H496" s="19">
        <v>32.0</v>
      </c>
      <c r="I496" s="19">
        <v>36.0</v>
      </c>
      <c r="J496" s="19">
        <v>2.0</v>
      </c>
      <c r="K496" s="19">
        <v>4.2</v>
      </c>
      <c r="L496" s="19">
        <v>52.0</v>
      </c>
      <c r="M496" s="19">
        <v>59.0</v>
      </c>
      <c r="N496" s="19">
        <v>7.1</v>
      </c>
      <c r="O496" s="19" t="s">
        <v>143</v>
      </c>
      <c r="P496" s="19" t="s">
        <v>191</v>
      </c>
      <c r="Q496" s="20">
        <f t="shared" si="4"/>
        <v>1.166666667</v>
      </c>
      <c r="R496" s="20">
        <f t="shared" si="5"/>
        <v>0.8888888889</v>
      </c>
      <c r="S496" s="20">
        <f t="shared" si="6"/>
        <v>0.05555555556</v>
      </c>
      <c r="T496" s="20">
        <f t="shared" si="7"/>
        <v>0.8813559322</v>
      </c>
      <c r="U496" s="20">
        <f>IF(B496="","",MIN(Q496/Targets!$B$2,1)*Targets!$D$2+MIN(G496/100/Targets!$B$3,1)*Targets!$D$3+MIN(T496/Targets!$B$4,1)*Targets!$D$4+MIN(R496/Targets!$B$5,1)*Targets!$D$5+MIN(N496/Targets!$B$6,1)*Targets!$D$6+MIN(Targets!$B$7/MAX(S496,0.0001),1)*Targets!$D$7)</f>
        <v>0.6811324214</v>
      </c>
    </row>
    <row r="497">
      <c r="A497" s="18">
        <v>46248.0</v>
      </c>
      <c r="B497" s="19" t="s">
        <v>123</v>
      </c>
      <c r="C497" s="19" t="s">
        <v>171</v>
      </c>
      <c r="D497" s="19" t="s">
        <v>121</v>
      </c>
      <c r="E497" s="14">
        <f t="shared" si="1"/>
        <v>16</v>
      </c>
      <c r="F497" s="19">
        <f t="shared" si="2"/>
        <v>11</v>
      </c>
      <c r="G497" s="20">
        <f t="shared" si="3"/>
        <v>0.6875</v>
      </c>
      <c r="H497" s="19">
        <v>58.0</v>
      </c>
      <c r="I497" s="19">
        <v>61.0</v>
      </c>
      <c r="J497" s="19">
        <v>4.0</v>
      </c>
      <c r="K497" s="19">
        <v>2.3</v>
      </c>
      <c r="L497" s="19">
        <v>67.0</v>
      </c>
      <c r="M497" s="19">
        <v>69.0</v>
      </c>
      <c r="N497" s="19">
        <v>7.4</v>
      </c>
      <c r="O497" s="19" t="s">
        <v>143</v>
      </c>
      <c r="P497" s="19" t="s">
        <v>178</v>
      </c>
      <c r="Q497" s="20">
        <f t="shared" si="4"/>
        <v>0.6875</v>
      </c>
      <c r="R497" s="20">
        <f t="shared" si="5"/>
        <v>0.9508196721</v>
      </c>
      <c r="S497" s="20">
        <f t="shared" si="6"/>
        <v>0.06557377049</v>
      </c>
      <c r="T497" s="20">
        <f t="shared" si="7"/>
        <v>0.9710144928</v>
      </c>
      <c r="U497" s="20">
        <f>IF(B497="","",MIN(Q497/Targets!$B$2,1)*Targets!$D$2+MIN(G497/100/Targets!$B$3,1)*Targets!$D$3+MIN(T497/Targets!$B$4,1)*Targets!$D$4+MIN(R497/Targets!$B$5,1)*Targets!$D$5+MIN(N497/Targets!$B$6,1)*Targets!$D$6+MIN(Targets!$B$7/MAX(S497,0.0001),1)*Targets!$D$7)</f>
        <v>0.6313194444</v>
      </c>
    </row>
    <row r="498">
      <c r="A498" s="18">
        <v>46248.0</v>
      </c>
      <c r="B498" s="19" t="s">
        <v>126</v>
      </c>
      <c r="C498" s="19" t="s">
        <v>179</v>
      </c>
      <c r="D498" s="19" t="s">
        <v>121</v>
      </c>
      <c r="E498" s="14">
        <f t="shared" si="1"/>
        <v>12</v>
      </c>
      <c r="F498" s="19">
        <f t="shared" si="2"/>
        <v>6</v>
      </c>
      <c r="G498" s="20">
        <f t="shared" si="3"/>
        <v>0.5</v>
      </c>
      <c r="H498" s="19">
        <v>35.0</v>
      </c>
      <c r="I498" s="19">
        <v>36.0</v>
      </c>
      <c r="J498" s="19">
        <v>1.0</v>
      </c>
      <c r="K498" s="19">
        <v>3.0</v>
      </c>
      <c r="L498" s="19">
        <v>46.0</v>
      </c>
      <c r="M498" s="19">
        <v>54.0</v>
      </c>
      <c r="N498" s="19">
        <v>7.5</v>
      </c>
      <c r="O498" s="19" t="s">
        <v>143</v>
      </c>
      <c r="P498" s="19" t="s">
        <v>189</v>
      </c>
      <c r="Q498" s="20">
        <f t="shared" si="4"/>
        <v>0.5</v>
      </c>
      <c r="R498" s="20">
        <f t="shared" si="5"/>
        <v>0.9722222222</v>
      </c>
      <c r="S498" s="20">
        <f t="shared" si="6"/>
        <v>0.02777777778</v>
      </c>
      <c r="T498" s="20">
        <f t="shared" si="7"/>
        <v>0.8518518519</v>
      </c>
      <c r="U498" s="20">
        <f>IF(B498="","",MIN(Q498/Targets!$B$2,1)*Targets!$D$2+MIN(G498/100/Targets!$B$3,1)*Targets!$D$3+MIN(T498/Targets!$B$4,1)*Targets!$D$4+MIN(R498/Targets!$B$5,1)*Targets!$D$5+MIN(N498/Targets!$B$6,1)*Targets!$D$6+MIN(Targets!$B$7/MAX(S498,0.0001),1)*Targets!$D$7)</f>
        <v>0.6047530864</v>
      </c>
    </row>
    <row r="499">
      <c r="A499" s="18">
        <v>46248.0</v>
      </c>
      <c r="B499" s="19" t="s">
        <v>129</v>
      </c>
      <c r="C499" s="19" t="s">
        <v>188</v>
      </c>
      <c r="D499" s="19" t="s">
        <v>121</v>
      </c>
      <c r="E499" s="14">
        <f t="shared" si="1"/>
        <v>13</v>
      </c>
      <c r="F499" s="19">
        <f t="shared" si="2"/>
        <v>11</v>
      </c>
      <c r="G499" s="20">
        <f t="shared" si="3"/>
        <v>0.8461538462</v>
      </c>
      <c r="H499" s="19">
        <v>43.0</v>
      </c>
      <c r="I499" s="19">
        <v>45.0</v>
      </c>
      <c r="J499" s="19">
        <v>1.0</v>
      </c>
      <c r="K499" s="19">
        <v>2.6</v>
      </c>
      <c r="L499" s="19">
        <v>50.0</v>
      </c>
      <c r="M499" s="19">
        <v>54.0</v>
      </c>
      <c r="N499" s="19">
        <v>8.1</v>
      </c>
      <c r="O499" s="19" t="s">
        <v>143</v>
      </c>
      <c r="P499" s="19" t="s">
        <v>144</v>
      </c>
      <c r="Q499" s="20">
        <f t="shared" si="4"/>
        <v>0.8461538462</v>
      </c>
      <c r="R499" s="20">
        <f t="shared" si="5"/>
        <v>0.9555555556</v>
      </c>
      <c r="S499" s="20">
        <f t="shared" si="6"/>
        <v>0.02222222222</v>
      </c>
      <c r="T499" s="20">
        <f t="shared" si="7"/>
        <v>0.9259259259</v>
      </c>
      <c r="U499" s="20">
        <f>IF(B499="","",MIN(Q499/Targets!$B$2,1)*Targets!$D$2+MIN(G499/100/Targets!$B$3,1)*Targets!$D$3+MIN(T499/Targets!$B$4,1)*Targets!$D$4+MIN(R499/Targets!$B$5,1)*Targets!$D$5+MIN(N499/Targets!$B$6,1)*Targets!$D$6+MIN(Targets!$B$7/MAX(S499,0.0001),1)*Targets!$D$7)</f>
        <v>0.6908547009</v>
      </c>
    </row>
    <row r="500">
      <c r="A500" s="18">
        <v>46248.0</v>
      </c>
      <c r="B500" s="19" t="s">
        <v>132</v>
      </c>
      <c r="C500" s="19" t="s">
        <v>190</v>
      </c>
      <c r="D500" s="19" t="s">
        <v>121</v>
      </c>
      <c r="E500" s="14">
        <f t="shared" si="1"/>
        <v>9</v>
      </c>
      <c r="F500" s="19">
        <f t="shared" si="2"/>
        <v>12</v>
      </c>
      <c r="G500" s="20">
        <f t="shared" si="3"/>
        <v>1.333333333</v>
      </c>
      <c r="H500" s="19">
        <v>32.0</v>
      </c>
      <c r="I500" s="19">
        <v>35.0</v>
      </c>
      <c r="J500" s="19">
        <v>2.0</v>
      </c>
      <c r="K500" s="19">
        <v>4.5</v>
      </c>
      <c r="L500" s="19">
        <v>46.0</v>
      </c>
      <c r="M500" s="19">
        <v>54.0</v>
      </c>
      <c r="N500" s="19">
        <v>7.7</v>
      </c>
      <c r="O500" s="19" t="s">
        <v>143</v>
      </c>
      <c r="P500" s="19" t="s">
        <v>144</v>
      </c>
      <c r="Q500" s="20">
        <f t="shared" si="4"/>
        <v>1.333333333</v>
      </c>
      <c r="R500" s="20">
        <f t="shared" si="5"/>
        <v>0.9142857143</v>
      </c>
      <c r="S500" s="20">
        <f t="shared" si="6"/>
        <v>0.05714285714</v>
      </c>
      <c r="T500" s="20">
        <f t="shared" si="7"/>
        <v>0.8518518519</v>
      </c>
      <c r="U500" s="20">
        <f>IF(B500="","",MIN(Q500/Targets!$B$2,1)*Targets!$D$2+MIN(G500/100/Targets!$B$3,1)*Targets!$D$3+MIN(T500/Targets!$B$4,1)*Targets!$D$4+MIN(R500/Targets!$B$5,1)*Targets!$D$5+MIN(N500/Targets!$B$6,1)*Targets!$D$6+MIN(Targets!$B$7/MAX(S500,0.0001),1)*Targets!$D$7)</f>
        <v>0.6782806553</v>
      </c>
    </row>
    <row r="501">
      <c r="A501" s="18">
        <v>46248.0</v>
      </c>
      <c r="B501" s="19" t="s">
        <v>135</v>
      </c>
      <c r="C501" s="19" t="s">
        <v>169</v>
      </c>
      <c r="D501" s="19" t="s">
        <v>121</v>
      </c>
      <c r="E501" s="14">
        <f t="shared" si="1"/>
        <v>14</v>
      </c>
      <c r="F501" s="19">
        <f t="shared" si="2"/>
        <v>7</v>
      </c>
      <c r="G501" s="20">
        <f t="shared" si="3"/>
        <v>0.5</v>
      </c>
      <c r="H501" s="19">
        <v>39.0</v>
      </c>
      <c r="I501" s="19">
        <v>44.0</v>
      </c>
      <c r="J501" s="19">
        <v>0.0</v>
      </c>
      <c r="K501" s="19">
        <v>4.4</v>
      </c>
      <c r="L501" s="19">
        <v>48.0</v>
      </c>
      <c r="M501" s="19">
        <v>54.0</v>
      </c>
      <c r="N501" s="19">
        <v>8.0</v>
      </c>
      <c r="O501" s="19" t="s">
        <v>143</v>
      </c>
      <c r="P501" s="19" t="s">
        <v>189</v>
      </c>
      <c r="Q501" s="20">
        <f t="shared" si="4"/>
        <v>0.5</v>
      </c>
      <c r="R501" s="20">
        <f t="shared" si="5"/>
        <v>0.8863636364</v>
      </c>
      <c r="S501" s="20">
        <f t="shared" si="6"/>
        <v>0</v>
      </c>
      <c r="T501" s="20">
        <f t="shared" si="7"/>
        <v>0.8888888889</v>
      </c>
      <c r="U501" s="20">
        <f>IF(B501="","",MIN(Q501/Targets!$B$2,1)*Targets!$D$2+MIN(G501/100/Targets!$B$3,1)*Targets!$D$3+MIN(T501/Targets!$B$4,1)*Targets!$D$4+MIN(R501/Targets!$B$5,1)*Targets!$D$5+MIN(N501/Targets!$B$6,1)*Targets!$D$6+MIN(Targets!$B$7/MAX(S501,0.0001),1)*Targets!$D$7)</f>
        <v>0.600878079</v>
      </c>
    </row>
    <row r="502">
      <c r="A502" s="25">
        <v>46251.0</v>
      </c>
      <c r="B502" s="14" t="s">
        <v>10</v>
      </c>
      <c r="C502" s="14" t="s">
        <v>14</v>
      </c>
      <c r="D502" s="19" t="s">
        <v>121</v>
      </c>
      <c r="E502" s="14">
        <f t="shared" si="1"/>
        <v>7</v>
      </c>
      <c r="F502" s="19">
        <f t="shared" si="2"/>
        <v>10</v>
      </c>
      <c r="G502" s="20">
        <f t="shared" si="3"/>
        <v>1.428571429</v>
      </c>
      <c r="H502" s="14">
        <v>28.0</v>
      </c>
      <c r="I502" s="14">
        <v>31.0</v>
      </c>
      <c r="J502" s="14">
        <v>1.0</v>
      </c>
      <c r="K502" s="14">
        <v>3.9</v>
      </c>
      <c r="L502" s="14">
        <v>41.0</v>
      </c>
      <c r="M502" s="14">
        <v>47.0</v>
      </c>
      <c r="N502" s="14">
        <v>7.3</v>
      </c>
      <c r="O502" s="14" t="s">
        <v>143</v>
      </c>
      <c r="P502" s="14" t="s">
        <v>187</v>
      </c>
      <c r="Q502" s="26">
        <f t="shared" si="4"/>
        <v>1.428571429</v>
      </c>
      <c r="R502" s="26">
        <f t="shared" si="5"/>
        <v>0.9032258065</v>
      </c>
      <c r="S502" s="26">
        <f t="shared" si="6"/>
        <v>0.03225806452</v>
      </c>
      <c r="T502" s="26">
        <f t="shared" si="7"/>
        <v>0.8723404255</v>
      </c>
      <c r="U502" s="26">
        <f>IF(B502="","",MIN(Q502/Targets!$B$2,1)*Targets!$D$2+MIN(G502/100/Targets!$B$3,1)*Targets!$D$3+MIN(T502/Targets!$B$4,1)*Targets!$D$4+MIN(R502/Targets!$B$5,1)*Targets!$D$5+MIN(N502/Targets!$B$6,1)*Targets!$D$6+MIN(Targets!$B$7/MAX(S502,0.0001),1)*Targets!$D$7)</f>
        <v>0.6927665767</v>
      </c>
    </row>
    <row r="503">
      <c r="A503" s="25">
        <v>46251.0</v>
      </c>
      <c r="B503" s="14" t="s">
        <v>25</v>
      </c>
      <c r="C503" s="14" t="s">
        <v>167</v>
      </c>
      <c r="D503" s="19" t="s">
        <v>121</v>
      </c>
      <c r="E503" s="14">
        <f t="shared" si="1"/>
        <v>6</v>
      </c>
      <c r="F503" s="19">
        <f t="shared" si="2"/>
        <v>8</v>
      </c>
      <c r="G503" s="20">
        <f t="shared" si="3"/>
        <v>1.333333333</v>
      </c>
      <c r="H503" s="14">
        <v>26.0</v>
      </c>
      <c r="I503" s="14">
        <v>30.0</v>
      </c>
      <c r="J503" s="14">
        <v>2.0</v>
      </c>
      <c r="K503" s="14">
        <v>4.6</v>
      </c>
      <c r="L503" s="14">
        <v>31.0</v>
      </c>
      <c r="M503" s="14">
        <v>34.0</v>
      </c>
      <c r="N503" s="14">
        <v>6.2</v>
      </c>
      <c r="O503" s="14" t="s">
        <v>143</v>
      </c>
      <c r="P503" s="14" t="s">
        <v>191</v>
      </c>
      <c r="Q503" s="26">
        <f t="shared" si="4"/>
        <v>1.333333333</v>
      </c>
      <c r="R503" s="26">
        <f t="shared" si="5"/>
        <v>0.8666666667</v>
      </c>
      <c r="S503" s="26">
        <f t="shared" si="6"/>
        <v>0.06666666667</v>
      </c>
      <c r="T503" s="26">
        <f t="shared" si="7"/>
        <v>0.9117647059</v>
      </c>
      <c r="U503" s="26">
        <f>IF(B503="","",MIN(Q503/Targets!$B$2,1)*Targets!$D$2+MIN(G503/100/Targets!$B$3,1)*Targets!$D$3+MIN(T503/Targets!$B$4,1)*Targets!$D$4+MIN(R503/Targets!$B$5,1)*Targets!$D$5+MIN(N503/Targets!$B$6,1)*Targets!$D$6+MIN(Targets!$B$7/MAX(S503,0.0001),1)*Targets!$D$7)</f>
        <v>0.6548579783</v>
      </c>
    </row>
    <row r="504">
      <c r="A504" s="25">
        <v>46251.0</v>
      </c>
      <c r="B504" s="14" t="s">
        <v>37</v>
      </c>
      <c r="C504" s="14" t="s">
        <v>169</v>
      </c>
      <c r="D504" s="19" t="s">
        <v>121</v>
      </c>
      <c r="E504" s="14">
        <f t="shared" si="1"/>
        <v>14</v>
      </c>
      <c r="F504" s="19">
        <f t="shared" si="2"/>
        <v>15</v>
      </c>
      <c r="G504" s="20">
        <f t="shared" si="3"/>
        <v>1.071428571</v>
      </c>
      <c r="H504" s="14">
        <v>26.0</v>
      </c>
      <c r="I504" s="14">
        <v>32.0</v>
      </c>
      <c r="J504" s="14">
        <v>0.0</v>
      </c>
      <c r="K504" s="14">
        <v>6.2</v>
      </c>
      <c r="L504" s="14">
        <v>39.0</v>
      </c>
      <c r="M504" s="14">
        <v>50.0</v>
      </c>
      <c r="N504" s="14">
        <v>6.7</v>
      </c>
      <c r="O504" s="14" t="s">
        <v>143</v>
      </c>
      <c r="P504" s="14" t="s">
        <v>187</v>
      </c>
      <c r="Q504" s="26">
        <f t="shared" si="4"/>
        <v>1.071428571</v>
      </c>
      <c r="R504" s="26">
        <f t="shared" si="5"/>
        <v>0.8125</v>
      </c>
      <c r="S504" s="26">
        <f t="shared" si="6"/>
        <v>0</v>
      </c>
      <c r="T504" s="26">
        <f t="shared" si="7"/>
        <v>0.78</v>
      </c>
      <c r="U504" s="26">
        <f>IF(B504="","",MIN(Q504/Targets!$B$2,1)*Targets!$D$2+MIN(G504/100/Targets!$B$3,1)*Targets!$D$3+MIN(T504/Targets!$B$4,1)*Targets!$D$4+MIN(R504/Targets!$B$5,1)*Targets!$D$5+MIN(N504/Targets!$B$6,1)*Targets!$D$6+MIN(Targets!$B$7/MAX(S504,0.0001),1)*Targets!$D$7)</f>
        <v>0.657575188</v>
      </c>
    </row>
    <row r="505">
      <c r="A505" s="25">
        <v>46251.0</v>
      </c>
      <c r="B505" s="14" t="s">
        <v>42</v>
      </c>
      <c r="C505" s="14" t="s">
        <v>171</v>
      </c>
      <c r="D505" s="19" t="s">
        <v>121</v>
      </c>
      <c r="E505" s="14">
        <f t="shared" si="1"/>
        <v>11</v>
      </c>
      <c r="F505" s="19">
        <f t="shared" si="2"/>
        <v>9</v>
      </c>
      <c r="G505" s="20">
        <f t="shared" si="3"/>
        <v>0.8181818182</v>
      </c>
      <c r="H505" s="14">
        <v>43.0</v>
      </c>
      <c r="I505" s="14">
        <v>44.0</v>
      </c>
      <c r="J505" s="14">
        <v>1.0</v>
      </c>
      <c r="K505" s="14">
        <v>2.0</v>
      </c>
      <c r="L505" s="14">
        <v>61.0</v>
      </c>
      <c r="M505" s="14">
        <v>62.0</v>
      </c>
      <c r="N505" s="14">
        <v>7.5</v>
      </c>
      <c r="O505" s="14" t="s">
        <v>143</v>
      </c>
      <c r="P505" s="14" t="s">
        <v>186</v>
      </c>
      <c r="Q505" s="26">
        <f t="shared" si="4"/>
        <v>0.8181818182</v>
      </c>
      <c r="R505" s="26">
        <f t="shared" si="5"/>
        <v>0.9772727273</v>
      </c>
      <c r="S505" s="26">
        <f t="shared" si="6"/>
        <v>0.02272727273</v>
      </c>
      <c r="T505" s="26">
        <f t="shared" si="7"/>
        <v>0.9838709677</v>
      </c>
      <c r="U505" s="26">
        <f>IF(B505="","",MIN(Q505/Targets!$B$2,1)*Targets!$D$2+MIN(G505/100/Targets!$B$3,1)*Targets!$D$3+MIN(T505/Targets!$B$4,1)*Targets!$D$4+MIN(R505/Targets!$B$5,1)*Targets!$D$5+MIN(N505/Targets!$B$6,1)*Targets!$D$6+MIN(Targets!$B$7/MAX(S505,0.0001),1)*Targets!$D$7)</f>
        <v>0.6845454545</v>
      </c>
    </row>
    <row r="506">
      <c r="A506" s="25">
        <v>46251.0</v>
      </c>
      <c r="B506" s="14" t="s">
        <v>46</v>
      </c>
      <c r="C506" s="14" t="s">
        <v>179</v>
      </c>
      <c r="D506" s="19" t="s">
        <v>121</v>
      </c>
      <c r="E506" s="14">
        <f t="shared" si="1"/>
        <v>15</v>
      </c>
      <c r="F506" s="19">
        <f t="shared" si="2"/>
        <v>7</v>
      </c>
      <c r="G506" s="20">
        <f t="shared" si="3"/>
        <v>0.4666666667</v>
      </c>
      <c r="H506" s="14">
        <v>39.0</v>
      </c>
      <c r="I506" s="14">
        <v>42.0</v>
      </c>
      <c r="J506" s="14">
        <v>1.0</v>
      </c>
      <c r="K506" s="14">
        <v>3.5</v>
      </c>
      <c r="L506" s="14">
        <v>41.0</v>
      </c>
      <c r="M506" s="14">
        <v>48.0</v>
      </c>
      <c r="N506" s="14">
        <v>7.7</v>
      </c>
      <c r="O506" s="14" t="s">
        <v>143</v>
      </c>
      <c r="P506" s="14" t="s">
        <v>189</v>
      </c>
      <c r="Q506" s="26">
        <f t="shared" si="4"/>
        <v>0.4666666667</v>
      </c>
      <c r="R506" s="26">
        <f t="shared" si="5"/>
        <v>0.9285714286</v>
      </c>
      <c r="S506" s="26">
        <f t="shared" si="6"/>
        <v>0.02380952381</v>
      </c>
      <c r="T506" s="26">
        <f t="shared" si="7"/>
        <v>0.8541666667</v>
      </c>
      <c r="U506" s="26">
        <f>IF(B506="","",MIN(Q506/Targets!$B$2,1)*Targets!$D$2+MIN(G506/100/Targets!$B$3,1)*Targets!$D$3+MIN(T506/Targets!$B$4,1)*Targets!$D$4+MIN(R506/Targets!$B$5,1)*Targets!$D$5+MIN(N506/Targets!$B$6,1)*Targets!$D$6+MIN(Targets!$B$7/MAX(S506,0.0001),1)*Targets!$D$7)</f>
        <v>0.5942369117</v>
      </c>
    </row>
    <row r="507">
      <c r="A507" s="25">
        <v>46251.0</v>
      </c>
      <c r="B507" s="14" t="s">
        <v>53</v>
      </c>
      <c r="C507" s="14" t="s">
        <v>14</v>
      </c>
      <c r="D507" s="19" t="s">
        <v>121</v>
      </c>
      <c r="E507" s="14">
        <f t="shared" si="1"/>
        <v>7</v>
      </c>
      <c r="F507" s="19">
        <f t="shared" si="2"/>
        <v>12</v>
      </c>
      <c r="G507" s="20">
        <f t="shared" si="3"/>
        <v>1.714285714</v>
      </c>
      <c r="H507" s="14">
        <v>18.0</v>
      </c>
      <c r="I507" s="14">
        <v>23.0</v>
      </c>
      <c r="J507" s="14">
        <v>0.0</v>
      </c>
      <c r="K507" s="14">
        <v>4.1</v>
      </c>
      <c r="L507" s="14">
        <v>31.0</v>
      </c>
      <c r="M507" s="14">
        <v>40.0</v>
      </c>
      <c r="N507" s="14">
        <v>6.8</v>
      </c>
      <c r="O507" s="14" t="s">
        <v>143</v>
      </c>
      <c r="P507" s="14" t="s">
        <v>187</v>
      </c>
      <c r="Q507" s="26">
        <f t="shared" si="4"/>
        <v>1.714285714</v>
      </c>
      <c r="R507" s="26">
        <f t="shared" si="5"/>
        <v>0.7826086957</v>
      </c>
      <c r="S507" s="26">
        <f t="shared" si="6"/>
        <v>0</v>
      </c>
      <c r="T507" s="26">
        <f t="shared" si="7"/>
        <v>0.775</v>
      </c>
      <c r="U507" s="26">
        <f>IF(B507="","",MIN(Q507/Targets!$B$2,1)*Targets!$D$2+MIN(G507/100/Targets!$B$3,1)*Targets!$D$3+MIN(T507/Targets!$B$4,1)*Targets!$D$4+MIN(R507/Targets!$B$5,1)*Targets!$D$5+MIN(N507/Targets!$B$6,1)*Targets!$D$6+MIN(Targets!$B$7/MAX(S507,0.0001),1)*Targets!$D$7)</f>
        <v>0.6555936036</v>
      </c>
    </row>
    <row r="508">
      <c r="A508" s="25">
        <v>46251.0</v>
      </c>
      <c r="B508" s="14" t="s">
        <v>65</v>
      </c>
      <c r="C508" s="14" t="s">
        <v>167</v>
      </c>
      <c r="D508" s="19" t="s">
        <v>121</v>
      </c>
      <c r="E508" s="14">
        <f t="shared" si="1"/>
        <v>9</v>
      </c>
      <c r="F508" s="19">
        <f t="shared" si="2"/>
        <v>9</v>
      </c>
      <c r="G508" s="20">
        <f t="shared" si="3"/>
        <v>1</v>
      </c>
      <c r="H508" s="14">
        <v>28.0</v>
      </c>
      <c r="I508" s="14">
        <v>32.0</v>
      </c>
      <c r="J508" s="14">
        <v>1.0</v>
      </c>
      <c r="K508" s="14">
        <v>3.7</v>
      </c>
      <c r="L508" s="14">
        <v>36.0</v>
      </c>
      <c r="M508" s="14">
        <v>42.0</v>
      </c>
      <c r="N508" s="14">
        <v>7.0</v>
      </c>
      <c r="O508" s="14" t="s">
        <v>143</v>
      </c>
      <c r="P508" s="14" t="s">
        <v>189</v>
      </c>
      <c r="Q508" s="26">
        <f t="shared" si="4"/>
        <v>1</v>
      </c>
      <c r="R508" s="26">
        <f t="shared" si="5"/>
        <v>0.875</v>
      </c>
      <c r="S508" s="26">
        <f t="shared" si="6"/>
        <v>0.03125</v>
      </c>
      <c r="T508" s="26">
        <f t="shared" si="7"/>
        <v>0.8571428571</v>
      </c>
      <c r="U508" s="26">
        <f>IF(B508="","",MIN(Q508/Targets!$B$2,1)*Targets!$D$2+MIN(G508/100/Targets!$B$3,1)*Targets!$D$3+MIN(T508/Targets!$B$4,1)*Targets!$D$4+MIN(R508/Targets!$B$5,1)*Targets!$D$5+MIN(N508/Targets!$B$6,1)*Targets!$D$6+MIN(Targets!$B$7/MAX(S508,0.0001),1)*Targets!$D$7)</f>
        <v>0.6843483709</v>
      </c>
    </row>
    <row r="509">
      <c r="A509" s="25">
        <v>46251.0</v>
      </c>
      <c r="B509" s="14" t="s">
        <v>73</v>
      </c>
      <c r="C509" s="14" t="s">
        <v>169</v>
      </c>
      <c r="D509" s="19" t="s">
        <v>121</v>
      </c>
      <c r="E509" s="14">
        <f t="shared" si="1"/>
        <v>16</v>
      </c>
      <c r="F509" s="19">
        <f t="shared" si="2"/>
        <v>15</v>
      </c>
      <c r="G509" s="20">
        <f t="shared" si="3"/>
        <v>0.9375</v>
      </c>
      <c r="H509" s="14">
        <v>30.0</v>
      </c>
      <c r="I509" s="14">
        <v>35.0</v>
      </c>
      <c r="J509" s="14">
        <v>0.0</v>
      </c>
      <c r="K509" s="14">
        <v>3.2</v>
      </c>
      <c r="L509" s="14">
        <v>43.0</v>
      </c>
      <c r="M509" s="14">
        <v>46.0</v>
      </c>
      <c r="N509" s="14">
        <v>7.2</v>
      </c>
      <c r="O509" s="14" t="s">
        <v>143</v>
      </c>
      <c r="P509" s="14" t="s">
        <v>187</v>
      </c>
      <c r="Q509" s="26">
        <f t="shared" si="4"/>
        <v>0.9375</v>
      </c>
      <c r="R509" s="26">
        <f t="shared" si="5"/>
        <v>0.8571428571</v>
      </c>
      <c r="S509" s="26">
        <f t="shared" si="6"/>
        <v>0</v>
      </c>
      <c r="T509" s="26">
        <f t="shared" si="7"/>
        <v>0.9347826087</v>
      </c>
      <c r="U509" s="26">
        <f>IF(B509="","",MIN(Q509/Targets!$B$2,1)*Targets!$D$2+MIN(G509/100/Targets!$B$3,1)*Targets!$D$3+MIN(T509/Targets!$B$4,1)*Targets!$D$4+MIN(R509/Targets!$B$5,1)*Targets!$D$5+MIN(N509/Targets!$B$6,1)*Targets!$D$6+MIN(Targets!$B$7/MAX(S509,0.0001),1)*Targets!$D$7)</f>
        <v>0.6884633459</v>
      </c>
    </row>
    <row r="510">
      <c r="A510" s="25">
        <v>46251.0</v>
      </c>
      <c r="B510" s="14" t="s">
        <v>78</v>
      </c>
      <c r="C510" s="14" t="s">
        <v>171</v>
      </c>
      <c r="D510" s="19" t="s">
        <v>121</v>
      </c>
      <c r="E510" s="14">
        <f t="shared" si="1"/>
        <v>14</v>
      </c>
      <c r="F510" s="19">
        <f t="shared" si="2"/>
        <v>14</v>
      </c>
      <c r="G510" s="20">
        <f t="shared" si="3"/>
        <v>1</v>
      </c>
      <c r="H510" s="14">
        <v>29.0</v>
      </c>
      <c r="I510" s="14">
        <v>33.0</v>
      </c>
      <c r="J510" s="14">
        <v>2.0</v>
      </c>
      <c r="K510" s="14">
        <v>3.2</v>
      </c>
      <c r="L510" s="14">
        <v>37.0</v>
      </c>
      <c r="M510" s="14">
        <v>47.0</v>
      </c>
      <c r="N510" s="14">
        <v>6.9</v>
      </c>
      <c r="O510" s="14" t="s">
        <v>143</v>
      </c>
      <c r="P510" s="14" t="s">
        <v>191</v>
      </c>
      <c r="Q510" s="26">
        <f t="shared" si="4"/>
        <v>1</v>
      </c>
      <c r="R510" s="26">
        <f t="shared" si="5"/>
        <v>0.8787878788</v>
      </c>
      <c r="S510" s="26">
        <f t="shared" si="6"/>
        <v>0.06060606061</v>
      </c>
      <c r="T510" s="26">
        <f t="shared" si="7"/>
        <v>0.7872340426</v>
      </c>
      <c r="U510" s="26">
        <f>IF(B510="","",MIN(Q510/Targets!$B$2,1)*Targets!$D$2+MIN(G510/100/Targets!$B$3,1)*Targets!$D$3+MIN(T510/Targets!$B$4,1)*Targets!$D$4+MIN(R510/Targets!$B$5,1)*Targets!$D$5+MIN(N510/Targets!$B$6,1)*Targets!$D$6+MIN(Targets!$B$7/MAX(S510,0.0001),1)*Targets!$D$7)</f>
        <v>0.6543664165</v>
      </c>
    </row>
    <row r="511">
      <c r="A511" s="25">
        <v>46251.0</v>
      </c>
      <c r="B511" s="14" t="s">
        <v>84</v>
      </c>
      <c r="C511" s="14" t="s">
        <v>179</v>
      </c>
      <c r="D511" s="19" t="s">
        <v>121</v>
      </c>
      <c r="E511" s="14">
        <f t="shared" si="1"/>
        <v>7</v>
      </c>
      <c r="F511" s="19">
        <f t="shared" si="2"/>
        <v>10</v>
      </c>
      <c r="G511" s="20">
        <f t="shared" si="3"/>
        <v>1.428571429</v>
      </c>
      <c r="H511" s="14">
        <v>59.0</v>
      </c>
      <c r="I511" s="14">
        <v>61.0</v>
      </c>
      <c r="J511" s="14">
        <v>3.0</v>
      </c>
      <c r="K511" s="14">
        <v>2.5</v>
      </c>
      <c r="L511" s="14">
        <v>66.0</v>
      </c>
      <c r="M511" s="14">
        <v>71.0</v>
      </c>
      <c r="N511" s="14">
        <v>7.6</v>
      </c>
      <c r="O511" s="14" t="s">
        <v>143</v>
      </c>
      <c r="P511" s="14" t="s">
        <v>191</v>
      </c>
      <c r="Q511" s="26">
        <f t="shared" si="4"/>
        <v>1.428571429</v>
      </c>
      <c r="R511" s="26">
        <f t="shared" si="5"/>
        <v>0.9672131148</v>
      </c>
      <c r="S511" s="26">
        <f t="shared" si="6"/>
        <v>0.04918032787</v>
      </c>
      <c r="T511" s="26">
        <f t="shared" si="7"/>
        <v>0.9295774648</v>
      </c>
      <c r="U511" s="26">
        <f>IF(B511="","",MIN(Q511/Targets!$B$2,1)*Targets!$D$2+MIN(G511/100/Targets!$B$3,1)*Targets!$D$3+MIN(T511/Targets!$B$4,1)*Targets!$D$4+MIN(R511/Targets!$B$5,1)*Targets!$D$5+MIN(N511/Targets!$B$6,1)*Targets!$D$6+MIN(Targets!$B$7/MAX(S511,0.0001),1)*Targets!$D$7)</f>
        <v>0.7047619048</v>
      </c>
    </row>
    <row r="512">
      <c r="A512" s="25">
        <v>46251.0</v>
      </c>
      <c r="B512" s="14" t="s">
        <v>91</v>
      </c>
      <c r="C512" s="14" t="s">
        <v>188</v>
      </c>
      <c r="D512" s="19" t="s">
        <v>121</v>
      </c>
      <c r="E512" s="14">
        <f t="shared" si="1"/>
        <v>12</v>
      </c>
      <c r="F512" s="19">
        <f t="shared" si="2"/>
        <v>15</v>
      </c>
      <c r="G512" s="20">
        <f t="shared" si="3"/>
        <v>1.25</v>
      </c>
      <c r="H512" s="14">
        <v>31.0</v>
      </c>
      <c r="I512" s="14">
        <v>32.0</v>
      </c>
      <c r="J512" s="14">
        <v>2.0</v>
      </c>
      <c r="K512" s="14">
        <v>3.9</v>
      </c>
      <c r="L512" s="14">
        <v>38.0</v>
      </c>
      <c r="M512" s="14">
        <v>44.0</v>
      </c>
      <c r="N512" s="14">
        <v>7.4</v>
      </c>
      <c r="O512" s="14" t="s">
        <v>143</v>
      </c>
      <c r="P512" s="14" t="s">
        <v>191</v>
      </c>
      <c r="Q512" s="26">
        <f t="shared" si="4"/>
        <v>1.25</v>
      </c>
      <c r="R512" s="26">
        <f t="shared" si="5"/>
        <v>0.96875</v>
      </c>
      <c r="S512" s="26">
        <f t="shared" si="6"/>
        <v>0.0625</v>
      </c>
      <c r="T512" s="26">
        <f t="shared" si="7"/>
        <v>0.8636363636</v>
      </c>
      <c r="U512" s="26">
        <f>IF(B512="","",MIN(Q512/Targets!$B$2,1)*Targets!$D$2+MIN(G512/100/Targets!$B$3,1)*Targets!$D$3+MIN(T512/Targets!$B$4,1)*Targets!$D$4+MIN(R512/Targets!$B$5,1)*Targets!$D$5+MIN(N512/Targets!$B$6,1)*Targets!$D$6+MIN(Targets!$B$7/MAX(S512,0.0001),1)*Targets!$D$7)</f>
        <v>0.6781060606</v>
      </c>
    </row>
    <row r="513">
      <c r="A513" s="25">
        <v>46251.0</v>
      </c>
      <c r="B513" s="14" t="s">
        <v>100</v>
      </c>
      <c r="C513" s="14" t="s">
        <v>190</v>
      </c>
      <c r="D513" s="19" t="s">
        <v>121</v>
      </c>
      <c r="E513" s="14">
        <f t="shared" si="1"/>
        <v>9</v>
      </c>
      <c r="F513" s="19">
        <f t="shared" si="2"/>
        <v>12</v>
      </c>
      <c r="G513" s="20">
        <f t="shared" si="3"/>
        <v>1.333333333</v>
      </c>
      <c r="H513" s="14">
        <v>48.0</v>
      </c>
      <c r="I513" s="14">
        <v>51.0</v>
      </c>
      <c r="J513" s="14">
        <v>4.0</v>
      </c>
      <c r="K513" s="14">
        <v>1.7</v>
      </c>
      <c r="L513" s="14">
        <v>49.0</v>
      </c>
      <c r="M513" s="14">
        <v>55.0</v>
      </c>
      <c r="N513" s="14">
        <v>7.9</v>
      </c>
      <c r="O513" s="14" t="s">
        <v>143</v>
      </c>
      <c r="P513" s="14" t="s">
        <v>178</v>
      </c>
      <c r="Q513" s="26">
        <f t="shared" si="4"/>
        <v>1.333333333</v>
      </c>
      <c r="R513" s="26">
        <f t="shared" si="5"/>
        <v>0.9411764706</v>
      </c>
      <c r="S513" s="26">
        <f t="shared" si="6"/>
        <v>0.07843137255</v>
      </c>
      <c r="T513" s="26">
        <f t="shared" si="7"/>
        <v>0.8909090909</v>
      </c>
      <c r="U513" s="26">
        <f>IF(B513="","",MIN(Q513/Targets!$B$2,1)*Targets!$D$2+MIN(G513/100/Targets!$B$3,1)*Targets!$D$3+MIN(T513/Targets!$B$4,1)*Targets!$D$4+MIN(R513/Targets!$B$5,1)*Targets!$D$5+MIN(N513/Targets!$B$6,1)*Targets!$D$6+MIN(Targets!$B$7/MAX(S513,0.0001),1)*Targets!$D$7)</f>
        <v>0.6652861041</v>
      </c>
    </row>
    <row r="514">
      <c r="A514" s="25">
        <v>46251.0</v>
      </c>
      <c r="B514" s="14" t="s">
        <v>109</v>
      </c>
      <c r="C514" s="14" t="s">
        <v>14</v>
      </c>
      <c r="D514" s="19" t="s">
        <v>121</v>
      </c>
      <c r="E514" s="14">
        <f t="shared" si="1"/>
        <v>6</v>
      </c>
      <c r="F514" s="19">
        <f t="shared" si="2"/>
        <v>12</v>
      </c>
      <c r="G514" s="20">
        <f t="shared" si="3"/>
        <v>2</v>
      </c>
      <c r="H514" s="14">
        <v>33.0</v>
      </c>
      <c r="I514" s="14">
        <v>37.0</v>
      </c>
      <c r="J514" s="14">
        <v>3.0</v>
      </c>
      <c r="K514" s="14">
        <v>3.0</v>
      </c>
      <c r="L514" s="14">
        <v>50.0</v>
      </c>
      <c r="M514" s="14">
        <v>57.0</v>
      </c>
      <c r="N514" s="14">
        <v>6.6</v>
      </c>
      <c r="O514" s="14" t="s">
        <v>143</v>
      </c>
      <c r="P514" s="14" t="s">
        <v>191</v>
      </c>
      <c r="Q514" s="26">
        <f t="shared" si="4"/>
        <v>2</v>
      </c>
      <c r="R514" s="26">
        <f t="shared" si="5"/>
        <v>0.8918918919</v>
      </c>
      <c r="S514" s="26">
        <f t="shared" si="6"/>
        <v>0.08108108108</v>
      </c>
      <c r="T514" s="26">
        <f t="shared" si="7"/>
        <v>0.8771929825</v>
      </c>
      <c r="U514" s="26">
        <f>IF(B514="","",MIN(Q514/Targets!$B$2,1)*Targets!$D$2+MIN(G514/100/Targets!$B$3,1)*Targets!$D$3+MIN(T514/Targets!$B$4,1)*Targets!$D$4+MIN(R514/Targets!$B$5,1)*Targets!$D$5+MIN(N514/Targets!$B$6,1)*Targets!$D$6+MIN(Targets!$B$7/MAX(S514,0.0001),1)*Targets!$D$7)</f>
        <v>0.6496429136</v>
      </c>
    </row>
    <row r="515">
      <c r="A515" s="25">
        <v>46251.0</v>
      </c>
      <c r="B515" s="14" t="s">
        <v>115</v>
      </c>
      <c r="C515" s="14" t="s">
        <v>167</v>
      </c>
      <c r="D515" s="19" t="s">
        <v>121</v>
      </c>
      <c r="E515" s="14">
        <f t="shared" si="1"/>
        <v>14</v>
      </c>
      <c r="F515" s="19">
        <f t="shared" si="2"/>
        <v>11</v>
      </c>
      <c r="G515" s="20">
        <f t="shared" si="3"/>
        <v>0.7857142857</v>
      </c>
      <c r="H515" s="14">
        <v>32.0</v>
      </c>
      <c r="I515" s="14">
        <v>33.0</v>
      </c>
      <c r="J515" s="14">
        <v>2.0</v>
      </c>
      <c r="K515" s="14">
        <v>4.3</v>
      </c>
      <c r="L515" s="14">
        <v>40.0</v>
      </c>
      <c r="M515" s="14">
        <v>45.0</v>
      </c>
      <c r="N515" s="14">
        <v>8.0</v>
      </c>
      <c r="O515" s="14" t="s">
        <v>143</v>
      </c>
      <c r="P515" s="14" t="s">
        <v>168</v>
      </c>
      <c r="Q515" s="26">
        <f t="shared" si="4"/>
        <v>0.7857142857</v>
      </c>
      <c r="R515" s="26">
        <f t="shared" si="5"/>
        <v>0.9696969697</v>
      </c>
      <c r="S515" s="26">
        <f t="shared" si="6"/>
        <v>0.06060606061</v>
      </c>
      <c r="T515" s="26">
        <f t="shared" si="7"/>
        <v>0.8888888889</v>
      </c>
      <c r="U515" s="26">
        <f>IF(B515="","",MIN(Q515/Targets!$B$2,1)*Targets!$D$2+MIN(G515/100/Targets!$B$3,1)*Targets!$D$3+MIN(T515/Targets!$B$4,1)*Targets!$D$4+MIN(R515/Targets!$B$5,1)*Targets!$D$5+MIN(N515/Targets!$B$6,1)*Targets!$D$6+MIN(Targets!$B$7/MAX(S515,0.0001),1)*Targets!$D$7)</f>
        <v>0.6578703704</v>
      </c>
    </row>
    <row r="516">
      <c r="A516" s="25">
        <v>46251.0</v>
      </c>
      <c r="B516" s="14" t="s">
        <v>118</v>
      </c>
      <c r="C516" s="14" t="s">
        <v>169</v>
      </c>
      <c r="D516" s="19" t="s">
        <v>121</v>
      </c>
      <c r="E516" s="14">
        <f t="shared" si="1"/>
        <v>6</v>
      </c>
      <c r="F516" s="19">
        <f t="shared" si="2"/>
        <v>9</v>
      </c>
      <c r="G516" s="20">
        <f t="shared" si="3"/>
        <v>1.5</v>
      </c>
      <c r="H516" s="14">
        <v>25.0</v>
      </c>
      <c r="I516" s="14">
        <v>29.0</v>
      </c>
      <c r="J516" s="14">
        <v>1.0</v>
      </c>
      <c r="K516" s="14">
        <v>6.1</v>
      </c>
      <c r="L516" s="14">
        <v>37.0</v>
      </c>
      <c r="M516" s="14">
        <v>41.0</v>
      </c>
      <c r="N516" s="14">
        <v>6.3</v>
      </c>
      <c r="O516" s="14" t="s">
        <v>143</v>
      </c>
      <c r="P516" s="14" t="s">
        <v>187</v>
      </c>
      <c r="Q516" s="26">
        <f t="shared" si="4"/>
        <v>1.5</v>
      </c>
      <c r="R516" s="26">
        <f t="shared" si="5"/>
        <v>0.8620689655</v>
      </c>
      <c r="S516" s="26">
        <f t="shared" si="6"/>
        <v>0.03448275862</v>
      </c>
      <c r="T516" s="26">
        <f t="shared" si="7"/>
        <v>0.9024390244</v>
      </c>
      <c r="U516" s="26">
        <f>IF(B516="","",MIN(Q516/Targets!$B$2,1)*Targets!$D$2+MIN(G516/100/Targets!$B$3,1)*Targets!$D$3+MIN(T516/Targets!$B$4,1)*Targets!$D$4+MIN(R516/Targets!$B$5,1)*Targets!$D$5+MIN(N516/Targets!$B$6,1)*Targets!$D$6+MIN(Targets!$B$7/MAX(S516,0.0001),1)*Targets!$D$7)</f>
        <v>0.6811161525</v>
      </c>
    </row>
    <row r="517">
      <c r="A517" s="25">
        <v>46251.0</v>
      </c>
      <c r="B517" s="14" t="s">
        <v>123</v>
      </c>
      <c r="C517" s="14" t="s">
        <v>171</v>
      </c>
      <c r="D517" s="19" t="s">
        <v>121</v>
      </c>
      <c r="E517" s="14">
        <f t="shared" si="1"/>
        <v>10</v>
      </c>
      <c r="F517" s="19">
        <f t="shared" si="2"/>
        <v>15</v>
      </c>
      <c r="G517" s="20">
        <f t="shared" si="3"/>
        <v>1.5</v>
      </c>
      <c r="H517" s="14">
        <v>49.0</v>
      </c>
      <c r="I517" s="14">
        <v>51.0</v>
      </c>
      <c r="J517" s="14">
        <v>1.0</v>
      </c>
      <c r="K517" s="14">
        <v>2.1</v>
      </c>
      <c r="L517" s="14">
        <v>58.0</v>
      </c>
      <c r="M517" s="14">
        <v>63.0</v>
      </c>
      <c r="N517" s="14">
        <v>7.4</v>
      </c>
      <c r="O517" s="14" t="s">
        <v>143</v>
      </c>
      <c r="P517" s="14" t="s">
        <v>191</v>
      </c>
      <c r="Q517" s="26">
        <f t="shared" si="4"/>
        <v>1.5</v>
      </c>
      <c r="R517" s="26">
        <f t="shared" si="5"/>
        <v>0.9607843137</v>
      </c>
      <c r="S517" s="26">
        <f t="shared" si="6"/>
        <v>0.01960784314</v>
      </c>
      <c r="T517" s="26">
        <f t="shared" si="7"/>
        <v>0.9206349206</v>
      </c>
      <c r="U517" s="26">
        <f>IF(B517="","",MIN(Q517/Targets!$B$2,1)*Targets!$D$2+MIN(G517/100/Targets!$B$3,1)*Targets!$D$3+MIN(T517/Targets!$B$4,1)*Targets!$D$4+MIN(R517/Targets!$B$5,1)*Targets!$D$5+MIN(N517/Targets!$B$6,1)*Targets!$D$6+MIN(Targets!$B$7/MAX(S517,0.0001),1)*Targets!$D$7)</f>
        <v>0.705</v>
      </c>
    </row>
    <row r="518">
      <c r="A518" s="25">
        <v>46251.0</v>
      </c>
      <c r="B518" s="14" t="s">
        <v>126</v>
      </c>
      <c r="C518" s="14" t="s">
        <v>179</v>
      </c>
      <c r="D518" s="19" t="s">
        <v>121</v>
      </c>
      <c r="E518" s="14">
        <f t="shared" si="1"/>
        <v>11</v>
      </c>
      <c r="F518" s="19">
        <f t="shared" si="2"/>
        <v>11</v>
      </c>
      <c r="G518" s="20">
        <f t="shared" si="3"/>
        <v>1</v>
      </c>
      <c r="H518" s="14">
        <v>35.0</v>
      </c>
      <c r="I518" s="14">
        <v>38.0</v>
      </c>
      <c r="J518" s="14">
        <v>2.0</v>
      </c>
      <c r="K518" s="14">
        <v>2.9</v>
      </c>
      <c r="L518" s="14">
        <v>45.0</v>
      </c>
      <c r="M518" s="14">
        <v>52.0</v>
      </c>
      <c r="N518" s="14">
        <v>7.4</v>
      </c>
      <c r="O518" s="14" t="s">
        <v>143</v>
      </c>
      <c r="P518" s="14" t="s">
        <v>186</v>
      </c>
      <c r="Q518" s="26">
        <f t="shared" si="4"/>
        <v>1</v>
      </c>
      <c r="R518" s="26">
        <f t="shared" si="5"/>
        <v>0.9210526316</v>
      </c>
      <c r="S518" s="26">
        <f t="shared" si="6"/>
        <v>0.05263157895</v>
      </c>
      <c r="T518" s="26">
        <f t="shared" si="7"/>
        <v>0.8653846154</v>
      </c>
      <c r="U518" s="26">
        <f>IF(B518="","",MIN(Q518/Targets!$B$2,1)*Targets!$D$2+MIN(G518/100/Targets!$B$3,1)*Targets!$D$3+MIN(T518/Targets!$B$4,1)*Targets!$D$4+MIN(R518/Targets!$B$5,1)*Targets!$D$5+MIN(N518/Targets!$B$6,1)*Targets!$D$6+MIN(Targets!$B$7/MAX(S518,0.0001),1)*Targets!$D$7)</f>
        <v>0.6879934654</v>
      </c>
    </row>
    <row r="519">
      <c r="A519" s="25">
        <v>46251.0</v>
      </c>
      <c r="B519" s="14" t="s">
        <v>129</v>
      </c>
      <c r="C519" s="14" t="s">
        <v>188</v>
      </c>
      <c r="D519" s="19" t="s">
        <v>121</v>
      </c>
      <c r="E519" s="14">
        <f t="shared" si="1"/>
        <v>14</v>
      </c>
      <c r="F519" s="19">
        <f t="shared" si="2"/>
        <v>10</v>
      </c>
      <c r="G519" s="20">
        <f t="shared" si="3"/>
        <v>0.7142857143</v>
      </c>
      <c r="H519" s="14">
        <v>39.0</v>
      </c>
      <c r="I519" s="14">
        <v>41.0</v>
      </c>
      <c r="J519" s="14">
        <v>2.0</v>
      </c>
      <c r="K519" s="14">
        <v>1.8</v>
      </c>
      <c r="L519" s="14">
        <v>47.0</v>
      </c>
      <c r="M519" s="14">
        <v>51.0</v>
      </c>
      <c r="N519" s="14">
        <v>7.9</v>
      </c>
      <c r="O519" s="14" t="s">
        <v>143</v>
      </c>
      <c r="P519" s="14" t="s">
        <v>168</v>
      </c>
      <c r="Q519" s="26">
        <f t="shared" si="4"/>
        <v>0.7142857143</v>
      </c>
      <c r="R519" s="26">
        <f t="shared" si="5"/>
        <v>0.9512195122</v>
      </c>
      <c r="S519" s="26">
        <f t="shared" si="6"/>
        <v>0.0487804878</v>
      </c>
      <c r="T519" s="26">
        <f t="shared" si="7"/>
        <v>0.9215686275</v>
      </c>
      <c r="U519" s="26">
        <f>IF(B519="","",MIN(Q519/Targets!$B$2,1)*Targets!$D$2+MIN(G519/100/Targets!$B$3,1)*Targets!$D$3+MIN(T519/Targets!$B$4,1)*Targets!$D$4+MIN(R519/Targets!$B$5,1)*Targets!$D$5+MIN(N519/Targets!$B$6,1)*Targets!$D$6+MIN(Targets!$B$7/MAX(S519,0.0001),1)*Targets!$D$7)</f>
        <v>0.6611111111</v>
      </c>
    </row>
    <row r="520">
      <c r="A520" s="25">
        <v>46251.0</v>
      </c>
      <c r="B520" s="14" t="s">
        <v>132</v>
      </c>
      <c r="C520" s="14" t="s">
        <v>190</v>
      </c>
      <c r="D520" s="19" t="s">
        <v>121</v>
      </c>
      <c r="E520" s="14">
        <f t="shared" si="1"/>
        <v>7</v>
      </c>
      <c r="F520" s="19">
        <f t="shared" si="2"/>
        <v>14</v>
      </c>
      <c r="G520" s="20">
        <f t="shared" si="3"/>
        <v>2</v>
      </c>
      <c r="H520" s="14">
        <v>49.0</v>
      </c>
      <c r="I520" s="14">
        <v>51.0</v>
      </c>
      <c r="J520" s="14">
        <v>1.0</v>
      </c>
      <c r="K520" s="14">
        <v>2.8</v>
      </c>
      <c r="L520" s="14">
        <v>25.0</v>
      </c>
      <c r="M520" s="14">
        <v>30.0</v>
      </c>
      <c r="N520" s="14">
        <v>4.0</v>
      </c>
      <c r="O520" s="14" t="s">
        <v>200</v>
      </c>
      <c r="P520" s="14" t="s">
        <v>178</v>
      </c>
      <c r="Q520" s="26">
        <f t="shared" si="4"/>
        <v>2</v>
      </c>
      <c r="R520" s="26">
        <f t="shared" si="5"/>
        <v>0.9607843137</v>
      </c>
      <c r="S520" s="26">
        <f t="shared" si="6"/>
        <v>0.01960784314</v>
      </c>
      <c r="T520" s="26">
        <f t="shared" si="7"/>
        <v>0.8333333333</v>
      </c>
      <c r="U520" s="26">
        <f>IF(B520="","",MIN(Q520/Targets!$B$2,1)*Targets!$D$2+MIN(G520/100/Targets!$B$3,1)*Targets!$D$3+MIN(T520/Targets!$B$4,1)*Targets!$D$4+MIN(R520/Targets!$B$5,1)*Targets!$D$5+MIN(N520/Targets!$B$6,1)*Targets!$D$6+MIN(Targets!$B$7/MAX(S520,0.0001),1)*Targets!$D$7)</f>
        <v>0.6526984127</v>
      </c>
    </row>
    <row r="521">
      <c r="A521" s="25">
        <v>46251.0</v>
      </c>
      <c r="B521" s="14" t="s">
        <v>135</v>
      </c>
      <c r="C521" s="14" t="s">
        <v>169</v>
      </c>
      <c r="D521" s="19" t="s">
        <v>121</v>
      </c>
      <c r="E521" s="14">
        <f t="shared" si="1"/>
        <v>12</v>
      </c>
      <c r="F521" s="19">
        <f t="shared" si="2"/>
        <v>12</v>
      </c>
      <c r="G521" s="20">
        <f t="shared" si="3"/>
        <v>1</v>
      </c>
      <c r="H521" s="14">
        <v>40.0</v>
      </c>
      <c r="I521" s="14">
        <v>42.0</v>
      </c>
      <c r="J521" s="14">
        <v>3.0</v>
      </c>
      <c r="K521" s="14">
        <v>3.0</v>
      </c>
      <c r="L521" s="14">
        <v>42.0</v>
      </c>
      <c r="M521" s="14">
        <v>52.0</v>
      </c>
      <c r="N521" s="14">
        <v>7.5</v>
      </c>
      <c r="O521" s="14" t="s">
        <v>143</v>
      </c>
      <c r="P521" s="14" t="s">
        <v>168</v>
      </c>
      <c r="Q521" s="26">
        <f t="shared" si="4"/>
        <v>1</v>
      </c>
      <c r="R521" s="26">
        <f t="shared" si="5"/>
        <v>0.9523809524</v>
      </c>
      <c r="S521" s="26">
        <f t="shared" si="6"/>
        <v>0.07142857143</v>
      </c>
      <c r="T521" s="26">
        <f t="shared" si="7"/>
        <v>0.8076923077</v>
      </c>
      <c r="U521" s="26">
        <f>IF(B521="","",MIN(Q521/Targets!$B$2,1)*Targets!$D$2+MIN(G521/100/Targets!$B$3,1)*Targets!$D$3+MIN(T521/Targets!$B$4,1)*Targets!$D$4+MIN(R521/Targets!$B$5,1)*Targets!$D$5+MIN(N521/Targets!$B$6,1)*Targets!$D$6+MIN(Targets!$B$7/MAX(S521,0.0001),1)*Targets!$D$7)</f>
        <v>0.6579487179</v>
      </c>
    </row>
    <row r="522">
      <c r="A522" s="25">
        <v>46252.0</v>
      </c>
      <c r="B522" s="14" t="s">
        <v>10</v>
      </c>
      <c r="C522" s="14" t="s">
        <v>14</v>
      </c>
      <c r="D522" s="19" t="s">
        <v>121</v>
      </c>
      <c r="E522" s="14">
        <f t="shared" si="1"/>
        <v>7</v>
      </c>
      <c r="F522" s="19">
        <f t="shared" si="2"/>
        <v>15</v>
      </c>
      <c r="G522" s="20">
        <f t="shared" si="3"/>
        <v>2.142857143</v>
      </c>
      <c r="H522" s="14">
        <v>45.0</v>
      </c>
      <c r="I522" s="14">
        <v>49.0</v>
      </c>
      <c r="J522" s="14">
        <v>3.0</v>
      </c>
      <c r="K522" s="14">
        <v>3.8</v>
      </c>
      <c r="L522" s="14">
        <v>45.0</v>
      </c>
      <c r="M522" s="14">
        <v>51.0</v>
      </c>
      <c r="N522" s="14">
        <v>6.3</v>
      </c>
      <c r="O522" s="14" t="s">
        <v>143</v>
      </c>
      <c r="P522" s="14" t="s">
        <v>187</v>
      </c>
      <c r="Q522" s="26">
        <f t="shared" si="4"/>
        <v>2.142857143</v>
      </c>
      <c r="R522" s="26">
        <f t="shared" si="5"/>
        <v>0.9183673469</v>
      </c>
      <c r="S522" s="26">
        <f t="shared" si="6"/>
        <v>0.0612244898</v>
      </c>
      <c r="T522" s="26">
        <f t="shared" si="7"/>
        <v>0.8823529412</v>
      </c>
      <c r="U522" s="26">
        <f>IF(B522="","",MIN(Q522/Targets!$B$2,1)*Targets!$D$2+MIN(G522/100/Targets!$B$3,1)*Targets!$D$3+MIN(T522/Targets!$B$4,1)*Targets!$D$4+MIN(R522/Targets!$B$5,1)*Targets!$D$5+MIN(N522/Targets!$B$6,1)*Targets!$D$6+MIN(Targets!$B$7/MAX(S522,0.0001),1)*Targets!$D$7)</f>
        <v>0.6708737179</v>
      </c>
    </row>
    <row r="523">
      <c r="A523" s="25">
        <v>46252.0</v>
      </c>
      <c r="B523" s="14" t="s">
        <v>25</v>
      </c>
      <c r="C523" s="14" t="s">
        <v>167</v>
      </c>
      <c r="D523" s="19" t="s">
        <v>121</v>
      </c>
      <c r="E523" s="14">
        <f t="shared" si="1"/>
        <v>16</v>
      </c>
      <c r="F523" s="19">
        <f t="shared" si="2"/>
        <v>12</v>
      </c>
      <c r="G523" s="20">
        <f t="shared" si="3"/>
        <v>0.75</v>
      </c>
      <c r="H523" s="14">
        <v>24.0</v>
      </c>
      <c r="I523" s="14">
        <v>30.0</v>
      </c>
      <c r="J523" s="14">
        <v>0.0</v>
      </c>
      <c r="K523" s="14">
        <v>5.1</v>
      </c>
      <c r="L523" s="14">
        <v>36.0</v>
      </c>
      <c r="M523" s="14">
        <v>48.0</v>
      </c>
      <c r="N523" s="14">
        <v>6.9</v>
      </c>
      <c r="O523" s="14" t="s">
        <v>143</v>
      </c>
      <c r="P523" s="14" t="s">
        <v>168</v>
      </c>
      <c r="Q523" s="26">
        <f t="shared" si="4"/>
        <v>0.75</v>
      </c>
      <c r="R523" s="26">
        <f t="shared" si="5"/>
        <v>0.8</v>
      </c>
      <c r="S523" s="26">
        <f t="shared" si="6"/>
        <v>0</v>
      </c>
      <c r="T523" s="26">
        <f t="shared" si="7"/>
        <v>0.75</v>
      </c>
      <c r="U523" s="26">
        <f>IF(B523="","",MIN(Q523/Targets!$B$2,1)*Targets!$D$2+MIN(G523/100/Targets!$B$3,1)*Targets!$D$3+MIN(T523/Targets!$B$4,1)*Targets!$D$4+MIN(R523/Targets!$B$5,1)*Targets!$D$5+MIN(N523/Targets!$B$6,1)*Targets!$D$6+MIN(Targets!$B$7/MAX(S523,0.0001),1)*Targets!$D$7)</f>
        <v>0.6190538847</v>
      </c>
    </row>
    <row r="524">
      <c r="A524" s="25">
        <v>46252.0</v>
      </c>
      <c r="B524" s="14" t="s">
        <v>37</v>
      </c>
      <c r="C524" s="14" t="s">
        <v>169</v>
      </c>
      <c r="D524" s="19" t="s">
        <v>121</v>
      </c>
      <c r="E524" s="14">
        <f t="shared" si="1"/>
        <v>7</v>
      </c>
      <c r="F524" s="19">
        <f t="shared" si="2"/>
        <v>11</v>
      </c>
      <c r="G524" s="20">
        <f t="shared" si="3"/>
        <v>1.571428571</v>
      </c>
      <c r="H524" s="14">
        <v>22.0</v>
      </c>
      <c r="I524" s="14">
        <v>27.0</v>
      </c>
      <c r="J524" s="14">
        <v>2.0</v>
      </c>
      <c r="K524" s="14">
        <v>5.0</v>
      </c>
      <c r="L524" s="14">
        <v>34.0</v>
      </c>
      <c r="M524" s="14">
        <v>50.0</v>
      </c>
      <c r="N524" s="14">
        <v>6.5</v>
      </c>
      <c r="O524" s="14" t="s">
        <v>143</v>
      </c>
      <c r="P524" s="14" t="s">
        <v>168</v>
      </c>
      <c r="Q524" s="26">
        <f t="shared" si="4"/>
        <v>1.571428571</v>
      </c>
      <c r="R524" s="26">
        <f t="shared" si="5"/>
        <v>0.8148148148</v>
      </c>
      <c r="S524" s="26">
        <f t="shared" si="6"/>
        <v>0.07407407407</v>
      </c>
      <c r="T524" s="26">
        <f t="shared" si="7"/>
        <v>0.68</v>
      </c>
      <c r="U524" s="26">
        <f>IF(B524="","",MIN(Q524/Targets!$B$2,1)*Targets!$D$2+MIN(G524/100/Targets!$B$3,1)*Targets!$D$3+MIN(T524/Targets!$B$4,1)*Targets!$D$4+MIN(R524/Targets!$B$5,1)*Targets!$D$5+MIN(N524/Targets!$B$6,1)*Targets!$D$6+MIN(Targets!$B$7/MAX(S524,0.0001),1)*Targets!$D$7)</f>
        <v>0.6075835422</v>
      </c>
    </row>
    <row r="525">
      <c r="A525" s="25">
        <v>46252.0</v>
      </c>
      <c r="B525" s="14" t="s">
        <v>42</v>
      </c>
      <c r="C525" s="14" t="s">
        <v>171</v>
      </c>
      <c r="D525" s="19" t="s">
        <v>121</v>
      </c>
      <c r="E525" s="14">
        <f t="shared" si="1"/>
        <v>6</v>
      </c>
      <c r="F525" s="19">
        <f t="shared" si="2"/>
        <v>8</v>
      </c>
      <c r="G525" s="20">
        <f t="shared" si="3"/>
        <v>1.333333333</v>
      </c>
      <c r="H525" s="14">
        <v>40.0</v>
      </c>
      <c r="I525" s="14">
        <v>42.0</v>
      </c>
      <c r="J525" s="14">
        <v>2.0</v>
      </c>
      <c r="K525" s="14">
        <v>3.3</v>
      </c>
      <c r="L525" s="14">
        <v>54.0</v>
      </c>
      <c r="M525" s="14">
        <v>63.0</v>
      </c>
      <c r="N525" s="14">
        <v>6.6</v>
      </c>
      <c r="O525" s="14" t="s">
        <v>143</v>
      </c>
      <c r="P525" s="14" t="s">
        <v>189</v>
      </c>
      <c r="Q525" s="26">
        <f t="shared" si="4"/>
        <v>1.333333333</v>
      </c>
      <c r="R525" s="26">
        <f t="shared" si="5"/>
        <v>0.9523809524</v>
      </c>
      <c r="S525" s="26">
        <f t="shared" si="6"/>
        <v>0.04761904762</v>
      </c>
      <c r="T525" s="26">
        <f t="shared" si="7"/>
        <v>0.8571428571</v>
      </c>
      <c r="U525" s="26">
        <f>IF(B525="","",MIN(Q525/Targets!$B$2,1)*Targets!$D$2+MIN(G525/100/Targets!$B$3,1)*Targets!$D$3+MIN(T525/Targets!$B$4,1)*Targets!$D$4+MIN(R525/Targets!$B$5,1)*Targets!$D$5+MIN(N525/Targets!$B$6,1)*Targets!$D$6+MIN(Targets!$B$7/MAX(S525,0.0001),1)*Targets!$D$7)</f>
        <v>0.6915873016</v>
      </c>
    </row>
    <row r="526">
      <c r="A526" s="25">
        <v>46252.0</v>
      </c>
      <c r="B526" s="14" t="s">
        <v>46</v>
      </c>
      <c r="C526" s="14" t="s">
        <v>179</v>
      </c>
      <c r="D526" s="19" t="s">
        <v>121</v>
      </c>
      <c r="E526" s="14">
        <f t="shared" si="1"/>
        <v>12</v>
      </c>
      <c r="F526" s="19">
        <f t="shared" si="2"/>
        <v>15</v>
      </c>
      <c r="G526" s="20">
        <f t="shared" si="3"/>
        <v>1.25</v>
      </c>
      <c r="H526" s="14">
        <v>22.0</v>
      </c>
      <c r="I526" s="14">
        <v>28.0</v>
      </c>
      <c r="J526" s="14">
        <v>1.0</v>
      </c>
      <c r="K526" s="14">
        <v>5.0</v>
      </c>
      <c r="L526" s="14">
        <v>33.0</v>
      </c>
      <c r="M526" s="14">
        <v>48.0</v>
      </c>
      <c r="N526" s="14">
        <v>7.0</v>
      </c>
      <c r="O526" s="14" t="s">
        <v>143</v>
      </c>
      <c r="P526" s="14" t="s">
        <v>191</v>
      </c>
      <c r="Q526" s="26">
        <f t="shared" si="4"/>
        <v>1.25</v>
      </c>
      <c r="R526" s="26">
        <f t="shared" si="5"/>
        <v>0.7857142857</v>
      </c>
      <c r="S526" s="26">
        <f t="shared" si="6"/>
        <v>0.03571428571</v>
      </c>
      <c r="T526" s="26">
        <f t="shared" si="7"/>
        <v>0.6875</v>
      </c>
      <c r="U526" s="26">
        <f>IF(B526="","",MIN(Q526/Targets!$B$2,1)*Targets!$D$2+MIN(G526/100/Targets!$B$3,1)*Targets!$D$3+MIN(T526/Targets!$B$4,1)*Targets!$D$4+MIN(R526/Targets!$B$5,1)*Targets!$D$5+MIN(N526/Targets!$B$6,1)*Targets!$D$6+MIN(Targets!$B$7/MAX(S526,0.0001),1)*Targets!$D$7)</f>
        <v>0.6428101504</v>
      </c>
    </row>
    <row r="527">
      <c r="A527" s="25">
        <v>46252.0</v>
      </c>
      <c r="B527" s="14" t="s">
        <v>53</v>
      </c>
      <c r="C527" s="14" t="s">
        <v>14</v>
      </c>
      <c r="D527" s="19" t="s">
        <v>121</v>
      </c>
      <c r="E527" s="14">
        <f t="shared" si="1"/>
        <v>14</v>
      </c>
      <c r="F527" s="19">
        <f t="shared" si="2"/>
        <v>12</v>
      </c>
      <c r="G527" s="20">
        <f t="shared" si="3"/>
        <v>0.8571428571</v>
      </c>
      <c r="H527" s="14">
        <v>36.0</v>
      </c>
      <c r="I527" s="14">
        <v>38.0</v>
      </c>
      <c r="J527" s="14">
        <v>2.0</v>
      </c>
      <c r="K527" s="14">
        <v>2.9</v>
      </c>
      <c r="L527" s="14">
        <v>47.0</v>
      </c>
      <c r="M527" s="14">
        <v>50.0</v>
      </c>
      <c r="N527" s="14">
        <v>7.3</v>
      </c>
      <c r="O527" s="14" t="s">
        <v>143</v>
      </c>
      <c r="P527" s="14" t="s">
        <v>168</v>
      </c>
      <c r="Q527" s="26">
        <f t="shared" si="4"/>
        <v>0.8571428571</v>
      </c>
      <c r="R527" s="26">
        <f t="shared" si="5"/>
        <v>0.9473684211</v>
      </c>
      <c r="S527" s="26">
        <f t="shared" si="6"/>
        <v>0.05263157895</v>
      </c>
      <c r="T527" s="26">
        <f t="shared" si="7"/>
        <v>0.94</v>
      </c>
      <c r="U527" s="26">
        <f>IF(B527="","",MIN(Q527/Targets!$B$2,1)*Targets!$D$2+MIN(G527/100/Targets!$B$3,1)*Targets!$D$3+MIN(T527/Targets!$B$4,1)*Targets!$D$4+MIN(R527/Targets!$B$5,1)*Targets!$D$5+MIN(N527/Targets!$B$6,1)*Targets!$D$6+MIN(Targets!$B$7/MAX(S527,0.0001),1)*Targets!$D$7)</f>
        <v>0.6879178209</v>
      </c>
    </row>
    <row r="528">
      <c r="A528" s="25">
        <v>46252.0</v>
      </c>
      <c r="B528" s="14" t="s">
        <v>65</v>
      </c>
      <c r="C528" s="14" t="s">
        <v>167</v>
      </c>
      <c r="D528" s="19" t="s">
        <v>121</v>
      </c>
      <c r="E528" s="14">
        <f t="shared" si="1"/>
        <v>16</v>
      </c>
      <c r="F528" s="19">
        <f t="shared" si="2"/>
        <v>12</v>
      </c>
      <c r="G528" s="20">
        <f t="shared" si="3"/>
        <v>0.75</v>
      </c>
      <c r="H528" s="14">
        <v>24.0</v>
      </c>
      <c r="I528" s="14">
        <v>30.0</v>
      </c>
      <c r="J528" s="14">
        <v>2.0</v>
      </c>
      <c r="K528" s="14">
        <v>4.2</v>
      </c>
      <c r="L528" s="14">
        <v>35.0</v>
      </c>
      <c r="M528" s="14">
        <v>50.0</v>
      </c>
      <c r="N528" s="14">
        <v>5.3</v>
      </c>
      <c r="O528" s="14" t="s">
        <v>143</v>
      </c>
      <c r="P528" s="14" t="s">
        <v>144</v>
      </c>
      <c r="Q528" s="26">
        <f t="shared" si="4"/>
        <v>0.75</v>
      </c>
      <c r="R528" s="26">
        <f t="shared" si="5"/>
        <v>0.8</v>
      </c>
      <c r="S528" s="26">
        <f t="shared" si="6"/>
        <v>0.06666666667</v>
      </c>
      <c r="T528" s="26">
        <f t="shared" si="7"/>
        <v>0.7</v>
      </c>
      <c r="U528" s="26">
        <f>IF(B528="","",MIN(Q528/Targets!$B$2,1)*Targets!$D$2+MIN(G528/100/Targets!$B$3,1)*Targets!$D$3+MIN(T528/Targets!$B$4,1)*Targets!$D$4+MIN(R528/Targets!$B$5,1)*Targets!$D$5+MIN(N528/Targets!$B$6,1)*Targets!$D$6+MIN(Targets!$B$7/MAX(S528,0.0001),1)*Targets!$D$7)</f>
        <v>0.5628634085</v>
      </c>
    </row>
    <row r="529">
      <c r="A529" s="25">
        <v>46252.0</v>
      </c>
      <c r="B529" s="14" t="s">
        <v>73</v>
      </c>
      <c r="C529" s="14" t="s">
        <v>169</v>
      </c>
      <c r="D529" s="19" t="s">
        <v>121</v>
      </c>
      <c r="E529" s="14">
        <f t="shared" si="1"/>
        <v>11</v>
      </c>
      <c r="F529" s="19">
        <f t="shared" si="2"/>
        <v>12</v>
      </c>
      <c r="G529" s="20">
        <f t="shared" si="3"/>
        <v>1.090909091</v>
      </c>
      <c r="H529" s="14">
        <v>36.0</v>
      </c>
      <c r="I529" s="14">
        <v>38.0</v>
      </c>
      <c r="J529" s="14">
        <v>2.0</v>
      </c>
      <c r="K529" s="14">
        <v>3.7</v>
      </c>
      <c r="L529" s="14">
        <v>49.0</v>
      </c>
      <c r="M529" s="14">
        <v>52.0</v>
      </c>
      <c r="N529" s="14">
        <v>6.8</v>
      </c>
      <c r="O529" s="14" t="s">
        <v>143</v>
      </c>
      <c r="P529" s="14" t="s">
        <v>178</v>
      </c>
      <c r="Q529" s="26">
        <f t="shared" si="4"/>
        <v>1.090909091</v>
      </c>
      <c r="R529" s="26">
        <f t="shared" si="5"/>
        <v>0.9473684211</v>
      </c>
      <c r="S529" s="26">
        <f t="shared" si="6"/>
        <v>0.05263157895</v>
      </c>
      <c r="T529" s="26">
        <f t="shared" si="7"/>
        <v>0.9423076923</v>
      </c>
      <c r="U529" s="26">
        <f>IF(B529="","",MIN(Q529/Targets!$B$2,1)*Targets!$D$2+MIN(G529/100/Targets!$B$3,1)*Targets!$D$3+MIN(T529/Targets!$B$4,1)*Targets!$D$4+MIN(R529/Targets!$B$5,1)*Targets!$D$5+MIN(N529/Targets!$B$6,1)*Targets!$D$6+MIN(Targets!$B$7/MAX(S529,0.0001),1)*Targets!$D$7)</f>
        <v>0.6953637083</v>
      </c>
    </row>
    <row r="530">
      <c r="A530" s="25">
        <v>46252.0</v>
      </c>
      <c r="B530" s="14" t="s">
        <v>78</v>
      </c>
      <c r="C530" s="14" t="s">
        <v>171</v>
      </c>
      <c r="D530" s="19" t="s">
        <v>121</v>
      </c>
      <c r="E530" s="14">
        <f t="shared" si="1"/>
        <v>6</v>
      </c>
      <c r="F530" s="19">
        <f t="shared" si="2"/>
        <v>6</v>
      </c>
      <c r="G530" s="20">
        <f t="shared" si="3"/>
        <v>1</v>
      </c>
      <c r="H530" s="14">
        <v>21.0</v>
      </c>
      <c r="I530" s="14">
        <v>24.0</v>
      </c>
      <c r="J530" s="14">
        <v>1.0</v>
      </c>
      <c r="K530" s="14">
        <v>5.6</v>
      </c>
      <c r="L530" s="14">
        <v>26.0</v>
      </c>
      <c r="M530" s="14">
        <v>37.0</v>
      </c>
      <c r="N530" s="14">
        <v>5.6</v>
      </c>
      <c r="O530" s="14" t="s">
        <v>143</v>
      </c>
      <c r="P530" s="14" t="s">
        <v>187</v>
      </c>
      <c r="Q530" s="26">
        <f t="shared" si="4"/>
        <v>1</v>
      </c>
      <c r="R530" s="26">
        <f t="shared" si="5"/>
        <v>0.875</v>
      </c>
      <c r="S530" s="26">
        <f t="shared" si="6"/>
        <v>0.04166666667</v>
      </c>
      <c r="T530" s="26">
        <f t="shared" si="7"/>
        <v>0.7027027027</v>
      </c>
      <c r="U530" s="26">
        <f>IF(B530="","",MIN(Q530/Targets!$B$2,1)*Targets!$D$2+MIN(G530/100/Targets!$B$3,1)*Targets!$D$3+MIN(T530/Targets!$B$4,1)*Targets!$D$4+MIN(R530/Targets!$B$5,1)*Targets!$D$5+MIN(N530/Targets!$B$6,1)*Targets!$D$6+MIN(Targets!$B$7/MAX(S530,0.0001),1)*Targets!$D$7)</f>
        <v>0.6386083452</v>
      </c>
    </row>
    <row r="531">
      <c r="A531" s="25">
        <v>46252.0</v>
      </c>
      <c r="B531" s="14" t="s">
        <v>84</v>
      </c>
      <c r="C531" s="14" t="s">
        <v>179</v>
      </c>
      <c r="D531" s="19" t="s">
        <v>121</v>
      </c>
      <c r="E531" s="14">
        <f t="shared" si="1"/>
        <v>11</v>
      </c>
      <c r="F531" s="19">
        <f t="shared" si="2"/>
        <v>8</v>
      </c>
      <c r="G531" s="20">
        <f t="shared" si="3"/>
        <v>0.7272727273</v>
      </c>
      <c r="H531" s="14">
        <v>33.0</v>
      </c>
      <c r="I531" s="14">
        <v>34.0</v>
      </c>
      <c r="J531" s="14">
        <v>2.0</v>
      </c>
      <c r="K531" s="14">
        <v>1.7</v>
      </c>
      <c r="L531" s="14">
        <v>44.0</v>
      </c>
      <c r="M531" s="14">
        <v>49.0</v>
      </c>
      <c r="N531" s="14">
        <v>7.7</v>
      </c>
      <c r="O531" s="14" t="s">
        <v>143</v>
      </c>
      <c r="P531" s="14" t="s">
        <v>191</v>
      </c>
      <c r="Q531" s="26">
        <f t="shared" si="4"/>
        <v>0.7272727273</v>
      </c>
      <c r="R531" s="26">
        <f t="shared" si="5"/>
        <v>0.9705882353</v>
      </c>
      <c r="S531" s="26">
        <f t="shared" si="6"/>
        <v>0.05882352941</v>
      </c>
      <c r="T531" s="26">
        <f t="shared" si="7"/>
        <v>0.8979591837</v>
      </c>
      <c r="U531" s="26">
        <f>IF(B531="","",MIN(Q531/Targets!$B$2,1)*Targets!$D$2+MIN(G531/100/Targets!$B$3,1)*Targets!$D$3+MIN(T531/Targets!$B$4,1)*Targets!$D$4+MIN(R531/Targets!$B$5,1)*Targets!$D$5+MIN(N531/Targets!$B$6,1)*Targets!$D$6+MIN(Targets!$B$7/MAX(S531,0.0001),1)*Targets!$D$7)</f>
        <v>0.648700268</v>
      </c>
    </row>
    <row r="532">
      <c r="A532" s="25">
        <v>46252.0</v>
      </c>
      <c r="B532" s="14" t="s">
        <v>91</v>
      </c>
      <c r="C532" s="14" t="s">
        <v>188</v>
      </c>
      <c r="D532" s="19" t="s">
        <v>121</v>
      </c>
      <c r="E532" s="14">
        <f t="shared" si="1"/>
        <v>15</v>
      </c>
      <c r="F532" s="19">
        <f t="shared" si="2"/>
        <v>9</v>
      </c>
      <c r="G532" s="20">
        <f t="shared" si="3"/>
        <v>0.6</v>
      </c>
      <c r="H532" s="14">
        <v>42.0</v>
      </c>
      <c r="I532" s="14">
        <v>43.0</v>
      </c>
      <c r="J532" s="14">
        <v>3.0</v>
      </c>
      <c r="K532" s="14">
        <v>2.6</v>
      </c>
      <c r="L532" s="14">
        <v>49.0</v>
      </c>
      <c r="M532" s="14">
        <v>51.0</v>
      </c>
      <c r="N532" s="14">
        <v>7.6</v>
      </c>
      <c r="O532" s="14" t="s">
        <v>143</v>
      </c>
      <c r="P532" s="14" t="s">
        <v>186</v>
      </c>
      <c r="Q532" s="26">
        <f t="shared" si="4"/>
        <v>0.6</v>
      </c>
      <c r="R532" s="26">
        <f t="shared" si="5"/>
        <v>0.976744186</v>
      </c>
      <c r="S532" s="26">
        <f t="shared" si="6"/>
        <v>0.06976744186</v>
      </c>
      <c r="T532" s="26">
        <f t="shared" si="7"/>
        <v>0.9607843137</v>
      </c>
      <c r="U532" s="26">
        <f>IF(B532="","",MIN(Q532/Targets!$B$2,1)*Targets!$D$2+MIN(G532/100/Targets!$B$3,1)*Targets!$D$3+MIN(T532/Targets!$B$4,1)*Targets!$D$4+MIN(R532/Targets!$B$5,1)*Targets!$D$5+MIN(N532/Targets!$B$6,1)*Targets!$D$6+MIN(Targets!$B$7/MAX(S532,0.0001),1)*Targets!$D$7)</f>
        <v>0.607</v>
      </c>
    </row>
    <row r="533">
      <c r="A533" s="25">
        <v>46252.0</v>
      </c>
      <c r="B533" s="14" t="s">
        <v>100</v>
      </c>
      <c r="C533" s="14" t="s">
        <v>190</v>
      </c>
      <c r="D533" s="19" t="s">
        <v>121</v>
      </c>
      <c r="E533" s="14">
        <f t="shared" si="1"/>
        <v>15</v>
      </c>
      <c r="F533" s="19">
        <f t="shared" si="2"/>
        <v>15</v>
      </c>
      <c r="G533" s="20">
        <f t="shared" si="3"/>
        <v>1</v>
      </c>
      <c r="H533" s="14">
        <v>50.0</v>
      </c>
      <c r="I533" s="14">
        <v>54.0</v>
      </c>
      <c r="J533" s="14">
        <v>2.0</v>
      </c>
      <c r="K533" s="14">
        <v>2.1</v>
      </c>
      <c r="L533" s="14">
        <v>53.0</v>
      </c>
      <c r="M533" s="14">
        <v>63.0</v>
      </c>
      <c r="N533" s="14">
        <v>7.9</v>
      </c>
      <c r="O533" s="14" t="s">
        <v>143</v>
      </c>
      <c r="P533" s="14" t="s">
        <v>144</v>
      </c>
      <c r="Q533" s="26">
        <f t="shared" si="4"/>
        <v>1</v>
      </c>
      <c r="R533" s="26">
        <f t="shared" si="5"/>
        <v>0.9259259259</v>
      </c>
      <c r="S533" s="26">
        <f t="shared" si="6"/>
        <v>0.03703703704</v>
      </c>
      <c r="T533" s="26">
        <f t="shared" si="7"/>
        <v>0.8412698413</v>
      </c>
      <c r="U533" s="26">
        <f>IF(B533="","",MIN(Q533/Targets!$B$2,1)*Targets!$D$2+MIN(G533/100/Targets!$B$3,1)*Targets!$D$3+MIN(T533/Targets!$B$4,1)*Targets!$D$4+MIN(R533/Targets!$B$5,1)*Targets!$D$5+MIN(N533/Targets!$B$6,1)*Targets!$D$6+MIN(Targets!$B$7/MAX(S533,0.0001),1)*Targets!$D$7)</f>
        <v>0.689743804</v>
      </c>
    </row>
    <row r="534">
      <c r="A534" s="25">
        <v>46252.0</v>
      </c>
      <c r="B534" s="14" t="s">
        <v>109</v>
      </c>
      <c r="C534" s="14" t="s">
        <v>14</v>
      </c>
      <c r="D534" s="19" t="s">
        <v>121</v>
      </c>
      <c r="E534" s="14">
        <f t="shared" si="1"/>
        <v>10</v>
      </c>
      <c r="F534" s="19">
        <f t="shared" si="2"/>
        <v>12</v>
      </c>
      <c r="G534" s="20">
        <f t="shared" si="3"/>
        <v>1.2</v>
      </c>
      <c r="H534" s="14">
        <v>21.0</v>
      </c>
      <c r="I534" s="14">
        <v>25.0</v>
      </c>
      <c r="J534" s="14">
        <v>0.0</v>
      </c>
      <c r="K534" s="14">
        <v>5.8</v>
      </c>
      <c r="L534" s="14">
        <v>31.0</v>
      </c>
      <c r="M534" s="14">
        <v>38.0</v>
      </c>
      <c r="N534" s="14">
        <v>6.4</v>
      </c>
      <c r="O534" s="14" t="s">
        <v>143</v>
      </c>
      <c r="P534" s="14" t="s">
        <v>178</v>
      </c>
      <c r="Q534" s="26">
        <f t="shared" si="4"/>
        <v>1.2</v>
      </c>
      <c r="R534" s="26">
        <f t="shared" si="5"/>
        <v>0.84</v>
      </c>
      <c r="S534" s="26">
        <f t="shared" si="6"/>
        <v>0</v>
      </c>
      <c r="T534" s="26">
        <f t="shared" si="7"/>
        <v>0.8157894737</v>
      </c>
      <c r="U534" s="26">
        <f>IF(B534="","",MIN(Q534/Targets!$B$2,1)*Targets!$D$2+MIN(G534/100/Targets!$B$3,1)*Targets!$D$3+MIN(T534/Targets!$B$4,1)*Targets!$D$4+MIN(R534/Targets!$B$5,1)*Targets!$D$5+MIN(N534/Targets!$B$6,1)*Targets!$D$6+MIN(Targets!$B$7/MAX(S534,0.0001),1)*Targets!$D$7)</f>
        <v>0.6640250627</v>
      </c>
    </row>
    <row r="535">
      <c r="A535" s="25">
        <v>46252.0</v>
      </c>
      <c r="B535" s="14" t="s">
        <v>115</v>
      </c>
      <c r="C535" s="14" t="s">
        <v>167</v>
      </c>
      <c r="D535" s="19" t="s">
        <v>121</v>
      </c>
      <c r="E535" s="14">
        <f t="shared" si="1"/>
        <v>9</v>
      </c>
      <c r="F535" s="19">
        <f t="shared" si="2"/>
        <v>8</v>
      </c>
      <c r="G535" s="20">
        <f t="shared" si="3"/>
        <v>0.8888888889</v>
      </c>
      <c r="H535" s="14">
        <v>39.0</v>
      </c>
      <c r="I535" s="14">
        <v>43.0</v>
      </c>
      <c r="J535" s="14">
        <v>3.0</v>
      </c>
      <c r="K535" s="14">
        <v>2.7</v>
      </c>
      <c r="L535" s="14">
        <v>44.0</v>
      </c>
      <c r="M535" s="14">
        <v>49.0</v>
      </c>
      <c r="N535" s="14">
        <v>7.2</v>
      </c>
      <c r="O535" s="14" t="s">
        <v>143</v>
      </c>
      <c r="P535" s="14" t="s">
        <v>189</v>
      </c>
      <c r="Q535" s="26">
        <f t="shared" si="4"/>
        <v>0.8888888889</v>
      </c>
      <c r="R535" s="26">
        <f t="shared" si="5"/>
        <v>0.9069767442</v>
      </c>
      <c r="S535" s="26">
        <f t="shared" si="6"/>
        <v>0.06976744186</v>
      </c>
      <c r="T535" s="26">
        <f t="shared" si="7"/>
        <v>0.8979591837</v>
      </c>
      <c r="U535" s="26">
        <f>IF(B535="","",MIN(Q535/Targets!$B$2,1)*Targets!$D$2+MIN(G535/100/Targets!$B$3,1)*Targets!$D$3+MIN(T535/Targets!$B$4,1)*Targets!$D$4+MIN(R535/Targets!$B$5,1)*Targets!$D$5+MIN(N535/Targets!$B$6,1)*Targets!$D$6+MIN(Targets!$B$7/MAX(S535,0.0001),1)*Targets!$D$7)</f>
        <v>0.6650272121</v>
      </c>
    </row>
    <row r="536">
      <c r="A536" s="25">
        <v>46252.0</v>
      </c>
      <c r="B536" s="14" t="s">
        <v>118</v>
      </c>
      <c r="C536" s="14" t="s">
        <v>169</v>
      </c>
      <c r="D536" s="19" t="s">
        <v>121</v>
      </c>
      <c r="E536" s="14">
        <f t="shared" si="1"/>
        <v>11</v>
      </c>
      <c r="F536" s="19">
        <f t="shared" si="2"/>
        <v>12</v>
      </c>
      <c r="G536" s="20">
        <f t="shared" si="3"/>
        <v>1.090909091</v>
      </c>
      <c r="H536" s="14">
        <v>31.0</v>
      </c>
      <c r="I536" s="14">
        <v>36.0</v>
      </c>
      <c r="J536" s="14">
        <v>1.0</v>
      </c>
      <c r="K536" s="14">
        <v>3.6</v>
      </c>
      <c r="L536" s="14">
        <v>45.0</v>
      </c>
      <c r="M536" s="14">
        <v>51.0</v>
      </c>
      <c r="N536" s="14">
        <v>6.7</v>
      </c>
      <c r="O536" s="14" t="s">
        <v>143</v>
      </c>
      <c r="P536" s="14" t="s">
        <v>191</v>
      </c>
      <c r="Q536" s="26">
        <f t="shared" si="4"/>
        <v>1.090909091</v>
      </c>
      <c r="R536" s="26">
        <f t="shared" si="5"/>
        <v>0.8611111111</v>
      </c>
      <c r="S536" s="26">
        <f t="shared" si="6"/>
        <v>0.02777777778</v>
      </c>
      <c r="T536" s="26">
        <f t="shared" si="7"/>
        <v>0.8823529412</v>
      </c>
      <c r="U536" s="26">
        <f>IF(B536="","",MIN(Q536/Targets!$B$2,1)*Targets!$D$2+MIN(G536/100/Targets!$B$3,1)*Targets!$D$3+MIN(T536/Targets!$B$4,1)*Targets!$D$4+MIN(R536/Targets!$B$5,1)*Targets!$D$5+MIN(N536/Targets!$B$6,1)*Targets!$D$6+MIN(Targets!$B$7/MAX(S536,0.0001),1)*Targets!$D$7)</f>
        <v>0.6823743852</v>
      </c>
    </row>
    <row r="537">
      <c r="A537" s="25">
        <v>46252.0</v>
      </c>
      <c r="B537" s="14" t="s">
        <v>123</v>
      </c>
      <c r="C537" s="14" t="s">
        <v>171</v>
      </c>
      <c r="D537" s="19" t="s">
        <v>121</v>
      </c>
      <c r="E537" s="14">
        <f t="shared" si="1"/>
        <v>9</v>
      </c>
      <c r="F537" s="19">
        <f t="shared" si="2"/>
        <v>6</v>
      </c>
      <c r="G537" s="20">
        <f t="shared" si="3"/>
        <v>0.6666666667</v>
      </c>
      <c r="H537" s="14">
        <v>50.0</v>
      </c>
      <c r="I537" s="14">
        <v>54.0</v>
      </c>
      <c r="J537" s="14">
        <v>3.0</v>
      </c>
      <c r="K537" s="14">
        <v>1.8</v>
      </c>
      <c r="L537" s="14">
        <v>54.0</v>
      </c>
      <c r="M537" s="14">
        <v>58.0</v>
      </c>
      <c r="N537" s="14">
        <v>7.3</v>
      </c>
      <c r="O537" s="14" t="s">
        <v>143</v>
      </c>
      <c r="P537" s="14" t="s">
        <v>178</v>
      </c>
      <c r="Q537" s="26">
        <f t="shared" si="4"/>
        <v>0.6666666667</v>
      </c>
      <c r="R537" s="26">
        <f t="shared" si="5"/>
        <v>0.9259259259</v>
      </c>
      <c r="S537" s="26">
        <f t="shared" si="6"/>
        <v>0.05555555556</v>
      </c>
      <c r="T537" s="26">
        <f t="shared" si="7"/>
        <v>0.9310344828</v>
      </c>
      <c r="U537" s="26">
        <f>IF(B537="","",MIN(Q537/Targets!$B$2,1)*Targets!$D$2+MIN(G537/100/Targets!$B$3,1)*Targets!$D$3+MIN(T537/Targets!$B$4,1)*Targets!$D$4+MIN(R537/Targets!$B$5,1)*Targets!$D$5+MIN(N537/Targets!$B$6,1)*Targets!$D$6+MIN(Targets!$B$7/MAX(S537,0.0001),1)*Targets!$D$7)</f>
        <v>0.6365692008</v>
      </c>
    </row>
    <row r="538">
      <c r="A538" s="25">
        <v>46252.0</v>
      </c>
      <c r="B538" s="14" t="s">
        <v>126</v>
      </c>
      <c r="C538" s="14" t="s">
        <v>179</v>
      </c>
      <c r="D538" s="19" t="s">
        <v>121</v>
      </c>
      <c r="E538" s="14">
        <f t="shared" si="1"/>
        <v>6</v>
      </c>
      <c r="F538" s="19">
        <f t="shared" si="2"/>
        <v>8</v>
      </c>
      <c r="G538" s="20">
        <f t="shared" si="3"/>
        <v>1.333333333</v>
      </c>
      <c r="H538" s="14">
        <v>42.0</v>
      </c>
      <c r="I538" s="14">
        <v>45.0</v>
      </c>
      <c r="J538" s="14">
        <v>1.0</v>
      </c>
      <c r="K538" s="14">
        <v>4.4</v>
      </c>
      <c r="L538" s="14">
        <v>49.0</v>
      </c>
      <c r="M538" s="14">
        <v>54.0</v>
      </c>
      <c r="N538" s="14">
        <v>7.5</v>
      </c>
      <c r="O538" s="14" t="s">
        <v>143</v>
      </c>
      <c r="P538" s="14" t="s">
        <v>168</v>
      </c>
      <c r="Q538" s="26">
        <f t="shared" si="4"/>
        <v>1.333333333</v>
      </c>
      <c r="R538" s="26">
        <f t="shared" si="5"/>
        <v>0.9333333333</v>
      </c>
      <c r="S538" s="26">
        <f t="shared" si="6"/>
        <v>0.02222222222</v>
      </c>
      <c r="T538" s="26">
        <f t="shared" si="7"/>
        <v>0.9074074074</v>
      </c>
      <c r="U538" s="26">
        <f>IF(B538="","",MIN(Q538/Targets!$B$2,1)*Targets!$D$2+MIN(G538/100/Targets!$B$3,1)*Targets!$D$3+MIN(T538/Targets!$B$4,1)*Targets!$D$4+MIN(R538/Targets!$B$5,1)*Targets!$D$5+MIN(N538/Targets!$B$6,1)*Targets!$D$6+MIN(Targets!$B$7/MAX(S538,0.0001),1)*Targets!$D$7)</f>
        <v>0.7018128655</v>
      </c>
    </row>
    <row r="539">
      <c r="A539" s="25">
        <v>46252.0</v>
      </c>
      <c r="B539" s="14" t="s">
        <v>129</v>
      </c>
      <c r="C539" s="14" t="s">
        <v>188</v>
      </c>
      <c r="D539" s="19" t="s">
        <v>121</v>
      </c>
      <c r="E539" s="14">
        <f t="shared" si="1"/>
        <v>9</v>
      </c>
      <c r="F539" s="19">
        <f t="shared" si="2"/>
        <v>13</v>
      </c>
      <c r="G539" s="20">
        <f t="shared" si="3"/>
        <v>1.444444444</v>
      </c>
      <c r="H539" s="14">
        <v>39.0</v>
      </c>
      <c r="I539" s="14">
        <v>42.0</v>
      </c>
      <c r="J539" s="14">
        <v>1.0</v>
      </c>
      <c r="K539" s="14">
        <v>3.7</v>
      </c>
      <c r="L539" s="14">
        <v>48.0</v>
      </c>
      <c r="M539" s="14">
        <v>57.0</v>
      </c>
      <c r="N539" s="14">
        <v>6.7</v>
      </c>
      <c r="O539" s="14" t="s">
        <v>143</v>
      </c>
      <c r="P539" s="14" t="s">
        <v>187</v>
      </c>
      <c r="Q539" s="26">
        <f t="shared" si="4"/>
        <v>1.444444444</v>
      </c>
      <c r="R539" s="26">
        <f t="shared" si="5"/>
        <v>0.9285714286</v>
      </c>
      <c r="S539" s="26">
        <f t="shared" si="6"/>
        <v>0.02380952381</v>
      </c>
      <c r="T539" s="26">
        <f t="shared" si="7"/>
        <v>0.8421052632</v>
      </c>
      <c r="U539" s="26">
        <f>IF(B539="","",MIN(Q539/Targets!$B$2,1)*Targets!$D$2+MIN(G539/100/Targets!$B$3,1)*Targets!$D$3+MIN(T539/Targets!$B$4,1)*Targets!$D$4+MIN(R539/Targets!$B$5,1)*Targets!$D$5+MIN(N539/Targets!$B$6,1)*Targets!$D$6+MIN(Targets!$B$7/MAX(S539,0.0001),1)*Targets!$D$7)</f>
        <v>0.6874965191</v>
      </c>
    </row>
    <row r="540">
      <c r="A540" s="25">
        <v>46252.0</v>
      </c>
      <c r="B540" s="14" t="s">
        <v>132</v>
      </c>
      <c r="C540" s="14" t="s">
        <v>190</v>
      </c>
      <c r="D540" s="19" t="s">
        <v>121</v>
      </c>
      <c r="E540" s="14">
        <f t="shared" si="1"/>
        <v>15</v>
      </c>
      <c r="F540" s="19">
        <f t="shared" si="2"/>
        <v>13</v>
      </c>
      <c r="G540" s="20">
        <f t="shared" si="3"/>
        <v>0.8666666667</v>
      </c>
      <c r="H540" s="14">
        <v>32.0</v>
      </c>
      <c r="I540" s="14">
        <v>35.0</v>
      </c>
      <c r="J540" s="14">
        <v>1.0</v>
      </c>
      <c r="K540" s="14">
        <v>3.0</v>
      </c>
      <c r="L540" s="14">
        <v>23.0</v>
      </c>
      <c r="M540" s="14">
        <v>27.0</v>
      </c>
      <c r="N540" s="14">
        <v>4.1</v>
      </c>
      <c r="O540" s="14" t="s">
        <v>200</v>
      </c>
      <c r="P540" s="14" t="s">
        <v>189</v>
      </c>
      <c r="Q540" s="26">
        <f t="shared" si="4"/>
        <v>0.8666666667</v>
      </c>
      <c r="R540" s="26">
        <f t="shared" si="5"/>
        <v>0.9142857143</v>
      </c>
      <c r="S540" s="26">
        <f t="shared" si="6"/>
        <v>0.02857142857</v>
      </c>
      <c r="T540" s="26">
        <f t="shared" si="7"/>
        <v>0.8518518519</v>
      </c>
      <c r="U540" s="26">
        <f>IF(B540="","",MIN(Q540/Targets!$B$2,1)*Targets!$D$2+MIN(G540/100/Targets!$B$3,1)*Targets!$D$3+MIN(T540/Targets!$B$4,1)*Targets!$D$4+MIN(R540/Targets!$B$5,1)*Targets!$D$5+MIN(N540/Targets!$B$6,1)*Targets!$D$6+MIN(Targets!$B$7/MAX(S540,0.0001),1)*Targets!$D$7)</f>
        <v>0.640389121</v>
      </c>
    </row>
    <row r="541">
      <c r="A541" s="25">
        <v>46252.0</v>
      </c>
      <c r="B541" s="14" t="s">
        <v>135</v>
      </c>
      <c r="C541" s="14" t="s">
        <v>169</v>
      </c>
      <c r="D541" s="19" t="s">
        <v>121</v>
      </c>
      <c r="E541" s="14">
        <f t="shared" si="1"/>
        <v>12</v>
      </c>
      <c r="F541" s="19">
        <f t="shared" si="2"/>
        <v>6</v>
      </c>
      <c r="G541" s="20">
        <f t="shared" si="3"/>
        <v>0.5</v>
      </c>
      <c r="H541" s="14">
        <v>42.0</v>
      </c>
      <c r="I541" s="14">
        <v>47.0</v>
      </c>
      <c r="J541" s="14">
        <v>3.0</v>
      </c>
      <c r="K541" s="14">
        <v>3.2</v>
      </c>
      <c r="L541" s="14">
        <v>45.0</v>
      </c>
      <c r="M541" s="14">
        <v>52.0</v>
      </c>
      <c r="N541" s="14">
        <v>7.5</v>
      </c>
      <c r="O541" s="14" t="s">
        <v>143</v>
      </c>
      <c r="P541" s="14" t="s">
        <v>186</v>
      </c>
      <c r="Q541" s="26">
        <f t="shared" si="4"/>
        <v>0.5</v>
      </c>
      <c r="R541" s="26">
        <f t="shared" si="5"/>
        <v>0.8936170213</v>
      </c>
      <c r="S541" s="26">
        <f t="shared" si="6"/>
        <v>0.06382978723</v>
      </c>
      <c r="T541" s="26">
        <f t="shared" si="7"/>
        <v>0.8653846154</v>
      </c>
      <c r="U541" s="26">
        <f>IF(B541="","",MIN(Q541/Targets!$B$2,1)*Targets!$D$2+MIN(G541/100/Targets!$B$3,1)*Targets!$D$3+MIN(T541/Targets!$B$4,1)*Targets!$D$4+MIN(R541/Targets!$B$5,1)*Targets!$D$5+MIN(N541/Targets!$B$6,1)*Targets!$D$6+MIN(Targets!$B$7/MAX(S541,0.0001),1)*Targets!$D$7)</f>
        <v>0.5764393048</v>
      </c>
    </row>
    <row r="542">
      <c r="A542" s="25">
        <v>46253.0</v>
      </c>
      <c r="B542" s="14" t="s">
        <v>10</v>
      </c>
      <c r="C542" s="14" t="s">
        <v>14</v>
      </c>
      <c r="D542" s="19" t="s">
        <v>121</v>
      </c>
      <c r="E542" s="14">
        <f t="shared" si="1"/>
        <v>15</v>
      </c>
      <c r="F542" s="19">
        <f t="shared" si="2"/>
        <v>14</v>
      </c>
      <c r="G542" s="20">
        <f t="shared" si="3"/>
        <v>0.9333333333</v>
      </c>
      <c r="H542" s="14">
        <v>54.0</v>
      </c>
      <c r="I542" s="14">
        <v>59.0</v>
      </c>
      <c r="J542" s="14">
        <v>1.0</v>
      </c>
      <c r="K542" s="14">
        <v>2.9</v>
      </c>
      <c r="L542" s="14">
        <v>59.0</v>
      </c>
      <c r="M542" s="14">
        <v>61.0</v>
      </c>
      <c r="N542" s="14">
        <v>7.8</v>
      </c>
      <c r="O542" s="14" t="s">
        <v>143</v>
      </c>
      <c r="P542" s="14" t="s">
        <v>178</v>
      </c>
      <c r="Q542" s="26">
        <f t="shared" si="4"/>
        <v>0.9333333333</v>
      </c>
      <c r="R542" s="26">
        <f t="shared" si="5"/>
        <v>0.9152542373</v>
      </c>
      <c r="S542" s="26">
        <f t="shared" si="6"/>
        <v>0.01694915254</v>
      </c>
      <c r="T542" s="26">
        <f t="shared" si="7"/>
        <v>0.9672131148</v>
      </c>
      <c r="U542" s="26">
        <f>IF(B542="","",MIN(Q542/Targets!$B$2,1)*Targets!$D$2+MIN(G542/100/Targets!$B$3,1)*Targets!$D$3+MIN(T542/Targets!$B$4,1)*Targets!$D$4+MIN(R542/Targets!$B$5,1)*Targets!$D$5+MIN(N542/Targets!$B$6,1)*Targets!$D$6+MIN(Targets!$B$7/MAX(S542,0.0001),1)*Targets!$D$7)</f>
        <v>0.6976249381</v>
      </c>
    </row>
    <row r="543">
      <c r="A543" s="25">
        <v>46253.0</v>
      </c>
      <c r="B543" s="14" t="s">
        <v>25</v>
      </c>
      <c r="C543" s="14" t="s">
        <v>167</v>
      </c>
      <c r="D543" s="19" t="s">
        <v>121</v>
      </c>
      <c r="E543" s="14">
        <f t="shared" si="1"/>
        <v>6</v>
      </c>
      <c r="F543" s="19">
        <f t="shared" si="2"/>
        <v>8</v>
      </c>
      <c r="G543" s="20">
        <f t="shared" si="3"/>
        <v>1.333333333</v>
      </c>
      <c r="H543" s="14">
        <v>37.0</v>
      </c>
      <c r="I543" s="14">
        <v>40.0</v>
      </c>
      <c r="J543" s="14">
        <v>1.0</v>
      </c>
      <c r="K543" s="14">
        <v>2.9</v>
      </c>
      <c r="L543" s="14">
        <v>48.0</v>
      </c>
      <c r="M543" s="14">
        <v>58.0</v>
      </c>
      <c r="N543" s="14">
        <v>6.7</v>
      </c>
      <c r="O543" s="14" t="s">
        <v>143</v>
      </c>
      <c r="P543" s="14" t="s">
        <v>168</v>
      </c>
      <c r="Q543" s="26">
        <f t="shared" si="4"/>
        <v>1.333333333</v>
      </c>
      <c r="R543" s="26">
        <f t="shared" si="5"/>
        <v>0.925</v>
      </c>
      <c r="S543" s="26">
        <f t="shared" si="6"/>
        <v>0.025</v>
      </c>
      <c r="T543" s="26">
        <f t="shared" si="7"/>
        <v>0.8275862069</v>
      </c>
      <c r="U543" s="26">
        <f>IF(B543="","",MIN(Q543/Targets!$B$2,1)*Targets!$D$2+MIN(G543/100/Targets!$B$3,1)*Targets!$D$3+MIN(T543/Targets!$B$4,1)*Targets!$D$4+MIN(R543/Targets!$B$5,1)*Targets!$D$5+MIN(N543/Targets!$B$6,1)*Targets!$D$6+MIN(Targets!$B$7/MAX(S543,0.0001),1)*Targets!$D$7)</f>
        <v>0.6841423962</v>
      </c>
    </row>
    <row r="544">
      <c r="A544" s="25">
        <v>46253.0</v>
      </c>
      <c r="B544" s="14" t="s">
        <v>37</v>
      </c>
      <c r="C544" s="14" t="s">
        <v>169</v>
      </c>
      <c r="D544" s="19" t="s">
        <v>121</v>
      </c>
      <c r="E544" s="14">
        <f t="shared" si="1"/>
        <v>6</v>
      </c>
      <c r="F544" s="19">
        <f t="shared" si="2"/>
        <v>10</v>
      </c>
      <c r="G544" s="20">
        <f t="shared" si="3"/>
        <v>1.666666667</v>
      </c>
      <c r="H544" s="14">
        <v>42.0</v>
      </c>
      <c r="I544" s="14">
        <v>46.0</v>
      </c>
      <c r="J544" s="14">
        <v>1.0</v>
      </c>
      <c r="K544" s="14">
        <v>2.8</v>
      </c>
      <c r="L544" s="14">
        <v>49.0</v>
      </c>
      <c r="M544" s="14">
        <v>59.0</v>
      </c>
      <c r="N544" s="14">
        <v>7.0</v>
      </c>
      <c r="O544" s="14" t="s">
        <v>143</v>
      </c>
      <c r="P544" s="14" t="s">
        <v>187</v>
      </c>
      <c r="Q544" s="26">
        <f t="shared" si="4"/>
        <v>1.666666667</v>
      </c>
      <c r="R544" s="26">
        <f t="shared" si="5"/>
        <v>0.9130434783</v>
      </c>
      <c r="S544" s="26">
        <f t="shared" si="6"/>
        <v>0.02173913043</v>
      </c>
      <c r="T544" s="26">
        <f t="shared" si="7"/>
        <v>0.8305084746</v>
      </c>
      <c r="U544" s="26">
        <f>IF(B544="","",MIN(Q544/Targets!$B$2,1)*Targets!$D$2+MIN(G544/100/Targets!$B$3,1)*Targets!$D$3+MIN(T544/Targets!$B$4,1)*Targets!$D$4+MIN(R544/Targets!$B$5,1)*Targets!$D$5+MIN(N544/Targets!$B$6,1)*Targets!$D$6+MIN(Targets!$B$7/MAX(S544,0.0001),1)*Targets!$D$7)</f>
        <v>0.6881383944</v>
      </c>
    </row>
    <row r="545">
      <c r="A545" s="25">
        <v>46253.0</v>
      </c>
      <c r="B545" s="14" t="s">
        <v>42</v>
      </c>
      <c r="C545" s="14" t="s">
        <v>171</v>
      </c>
      <c r="D545" s="19" t="s">
        <v>121</v>
      </c>
      <c r="E545" s="14">
        <f t="shared" si="1"/>
        <v>9</v>
      </c>
      <c r="F545" s="19">
        <f t="shared" si="2"/>
        <v>7</v>
      </c>
      <c r="G545" s="20">
        <f t="shared" si="3"/>
        <v>0.7777777778</v>
      </c>
      <c r="H545" s="14">
        <v>45.0</v>
      </c>
      <c r="I545" s="14">
        <v>48.0</v>
      </c>
      <c r="J545" s="14">
        <v>4.0</v>
      </c>
      <c r="K545" s="14">
        <v>2.3</v>
      </c>
      <c r="L545" s="14">
        <v>50.0</v>
      </c>
      <c r="M545" s="14">
        <v>52.0</v>
      </c>
      <c r="N545" s="14">
        <v>7.6</v>
      </c>
      <c r="O545" s="14" t="s">
        <v>143</v>
      </c>
      <c r="P545" s="14" t="s">
        <v>144</v>
      </c>
      <c r="Q545" s="26">
        <f t="shared" si="4"/>
        <v>0.7777777778</v>
      </c>
      <c r="R545" s="26">
        <f t="shared" si="5"/>
        <v>0.9375</v>
      </c>
      <c r="S545" s="26">
        <f t="shared" si="6"/>
        <v>0.08333333333</v>
      </c>
      <c r="T545" s="26">
        <f t="shared" si="7"/>
        <v>0.9615384615</v>
      </c>
      <c r="U545" s="26">
        <f>IF(B545="","",MIN(Q545/Targets!$B$2,1)*Targets!$D$2+MIN(G545/100/Targets!$B$3,1)*Targets!$D$3+MIN(T545/Targets!$B$4,1)*Targets!$D$4+MIN(R545/Targets!$B$5,1)*Targets!$D$5+MIN(N545/Targets!$B$6,1)*Targets!$D$6+MIN(Targets!$B$7/MAX(S545,0.0001),1)*Targets!$D$7)</f>
        <v>0.6334584146</v>
      </c>
    </row>
    <row r="546">
      <c r="A546" s="25">
        <v>46253.0</v>
      </c>
      <c r="B546" s="14" t="s">
        <v>46</v>
      </c>
      <c r="C546" s="14" t="s">
        <v>179</v>
      </c>
      <c r="D546" s="19" t="s">
        <v>121</v>
      </c>
      <c r="E546" s="14">
        <f t="shared" si="1"/>
        <v>13</v>
      </c>
      <c r="F546" s="19">
        <f t="shared" si="2"/>
        <v>6</v>
      </c>
      <c r="G546" s="20">
        <f t="shared" si="3"/>
        <v>0.4615384615</v>
      </c>
      <c r="H546" s="14">
        <v>35.0</v>
      </c>
      <c r="I546" s="14">
        <v>38.0</v>
      </c>
      <c r="J546" s="14">
        <v>1.0</v>
      </c>
      <c r="K546" s="14">
        <v>3.8</v>
      </c>
      <c r="L546" s="14">
        <v>47.0</v>
      </c>
      <c r="M546" s="14">
        <v>54.0</v>
      </c>
      <c r="N546" s="14">
        <v>7.1</v>
      </c>
      <c r="O546" s="14" t="s">
        <v>143</v>
      </c>
      <c r="P546" s="14" t="s">
        <v>191</v>
      </c>
      <c r="Q546" s="26">
        <f t="shared" si="4"/>
        <v>0.4615384615</v>
      </c>
      <c r="R546" s="26">
        <f t="shared" si="5"/>
        <v>0.9210526316</v>
      </c>
      <c r="S546" s="26">
        <f t="shared" si="6"/>
        <v>0.02631578947</v>
      </c>
      <c r="T546" s="26">
        <f t="shared" si="7"/>
        <v>0.8703703704</v>
      </c>
      <c r="U546" s="26">
        <f>IF(B546="","",MIN(Q546/Targets!$B$2,1)*Targets!$D$2+MIN(G546/100/Targets!$B$3,1)*Targets!$D$3+MIN(T546/Targets!$B$4,1)*Targets!$D$4+MIN(R546/Targets!$B$5,1)*Targets!$D$5+MIN(N546/Targets!$B$6,1)*Targets!$D$6+MIN(Targets!$B$7/MAX(S546,0.0001),1)*Targets!$D$7)</f>
        <v>0.5945936554</v>
      </c>
    </row>
    <row r="547">
      <c r="A547" s="25">
        <v>46253.0</v>
      </c>
      <c r="B547" s="14" t="s">
        <v>53</v>
      </c>
      <c r="C547" s="14" t="s">
        <v>14</v>
      </c>
      <c r="D547" s="19" t="s">
        <v>121</v>
      </c>
      <c r="E547" s="14">
        <f t="shared" si="1"/>
        <v>6</v>
      </c>
      <c r="F547" s="19">
        <f t="shared" si="2"/>
        <v>7</v>
      </c>
      <c r="G547" s="20">
        <f t="shared" si="3"/>
        <v>1.166666667</v>
      </c>
      <c r="H547" s="14">
        <v>27.0</v>
      </c>
      <c r="I547" s="14">
        <v>33.0</v>
      </c>
      <c r="J547" s="14">
        <v>0.0</v>
      </c>
      <c r="K547" s="14">
        <v>5.7</v>
      </c>
      <c r="L547" s="14">
        <v>36.0</v>
      </c>
      <c r="M547" s="14">
        <v>49.0</v>
      </c>
      <c r="N547" s="14">
        <v>6.5</v>
      </c>
      <c r="O547" s="14" t="s">
        <v>143</v>
      </c>
      <c r="P547" s="14" t="s">
        <v>144</v>
      </c>
      <c r="Q547" s="26">
        <f t="shared" si="4"/>
        <v>1.166666667</v>
      </c>
      <c r="R547" s="26">
        <f t="shared" si="5"/>
        <v>0.8181818182</v>
      </c>
      <c r="S547" s="26">
        <f t="shared" si="6"/>
        <v>0</v>
      </c>
      <c r="T547" s="26">
        <f t="shared" si="7"/>
        <v>0.7346938776</v>
      </c>
      <c r="U547" s="26">
        <f>IF(B547="","",MIN(Q547/Targets!$B$2,1)*Targets!$D$2+MIN(G547/100/Targets!$B$3,1)*Targets!$D$3+MIN(T547/Targets!$B$4,1)*Targets!$D$4+MIN(R547/Targets!$B$5,1)*Targets!$D$5+MIN(N547/Targets!$B$6,1)*Targets!$D$6+MIN(Targets!$B$7/MAX(S547,0.0001),1)*Targets!$D$7)</f>
        <v>0.6483816142</v>
      </c>
    </row>
    <row r="548">
      <c r="A548" s="25">
        <v>46253.0</v>
      </c>
      <c r="B548" s="14" t="s">
        <v>65</v>
      </c>
      <c r="C548" s="14" t="s">
        <v>167</v>
      </c>
      <c r="D548" s="19" t="s">
        <v>121</v>
      </c>
      <c r="E548" s="14">
        <f t="shared" si="1"/>
        <v>8</v>
      </c>
      <c r="F548" s="19">
        <f t="shared" si="2"/>
        <v>11</v>
      </c>
      <c r="G548" s="20">
        <f t="shared" si="3"/>
        <v>1.375</v>
      </c>
      <c r="H548" s="14">
        <v>22.0</v>
      </c>
      <c r="I548" s="14">
        <v>27.0</v>
      </c>
      <c r="J548" s="14">
        <v>2.0</v>
      </c>
      <c r="K548" s="14">
        <v>4.6</v>
      </c>
      <c r="L548" s="14">
        <v>28.0</v>
      </c>
      <c r="M548" s="14">
        <v>41.0</v>
      </c>
      <c r="N548" s="14">
        <v>6.5</v>
      </c>
      <c r="O548" s="14" t="s">
        <v>143</v>
      </c>
      <c r="P548" s="14" t="s">
        <v>191</v>
      </c>
      <c r="Q548" s="26">
        <f t="shared" si="4"/>
        <v>1.375</v>
      </c>
      <c r="R548" s="26">
        <f t="shared" si="5"/>
        <v>0.8148148148</v>
      </c>
      <c r="S548" s="26">
        <f t="shared" si="6"/>
        <v>0.07407407407</v>
      </c>
      <c r="T548" s="26">
        <f t="shared" si="7"/>
        <v>0.6829268293</v>
      </c>
      <c r="U548" s="26">
        <f>IF(B548="","",MIN(Q548/Targets!$B$2,1)*Targets!$D$2+MIN(G548/100/Targets!$B$3,1)*Targets!$D$3+MIN(T548/Targets!$B$4,1)*Targets!$D$4+MIN(R548/Targets!$B$5,1)*Targets!$D$5+MIN(N548/Targets!$B$6,1)*Targets!$D$6+MIN(Targets!$B$7/MAX(S548,0.0001),1)*Targets!$D$7)</f>
        <v>0.6074165852</v>
      </c>
    </row>
    <row r="549">
      <c r="A549" s="25">
        <v>46253.0</v>
      </c>
      <c r="B549" s="14" t="s">
        <v>73</v>
      </c>
      <c r="C549" s="14" t="s">
        <v>169</v>
      </c>
      <c r="D549" s="19" t="s">
        <v>121</v>
      </c>
      <c r="E549" s="14">
        <f t="shared" si="1"/>
        <v>8</v>
      </c>
      <c r="F549" s="19">
        <f t="shared" si="2"/>
        <v>9</v>
      </c>
      <c r="G549" s="20">
        <f t="shared" si="3"/>
        <v>1.125</v>
      </c>
      <c r="H549" s="14">
        <v>55.0</v>
      </c>
      <c r="I549" s="14">
        <v>56.0</v>
      </c>
      <c r="J549" s="14">
        <v>3.0</v>
      </c>
      <c r="K549" s="14">
        <v>2.1</v>
      </c>
      <c r="L549" s="14">
        <v>62.0</v>
      </c>
      <c r="M549" s="14">
        <v>65.0</v>
      </c>
      <c r="N549" s="14">
        <v>7.4</v>
      </c>
      <c r="O549" s="14" t="s">
        <v>143</v>
      </c>
      <c r="P549" s="14" t="s">
        <v>144</v>
      </c>
      <c r="Q549" s="26">
        <f t="shared" si="4"/>
        <v>1.125</v>
      </c>
      <c r="R549" s="26">
        <f t="shared" si="5"/>
        <v>0.9821428571</v>
      </c>
      <c r="S549" s="26">
        <f t="shared" si="6"/>
        <v>0.05357142857</v>
      </c>
      <c r="T549" s="26">
        <f t="shared" si="7"/>
        <v>0.9538461538</v>
      </c>
      <c r="U549" s="26">
        <f>IF(B549="","",MIN(Q549/Targets!$B$2,1)*Targets!$D$2+MIN(G549/100/Targets!$B$3,1)*Targets!$D$3+MIN(T549/Targets!$B$4,1)*Targets!$D$4+MIN(R549/Targets!$B$5,1)*Targets!$D$5+MIN(N549/Targets!$B$6,1)*Targets!$D$6+MIN(Targets!$B$7/MAX(S549,0.0001),1)*Targets!$D$7)</f>
        <v>0.6970833333</v>
      </c>
    </row>
    <row r="550">
      <c r="A550" s="25">
        <v>46253.0</v>
      </c>
      <c r="B550" s="14" t="s">
        <v>78</v>
      </c>
      <c r="C550" s="14" t="s">
        <v>171</v>
      </c>
      <c r="D550" s="19" t="s">
        <v>121</v>
      </c>
      <c r="E550" s="14">
        <f t="shared" si="1"/>
        <v>13</v>
      </c>
      <c r="F550" s="19">
        <f t="shared" si="2"/>
        <v>11</v>
      </c>
      <c r="G550" s="20">
        <f t="shared" si="3"/>
        <v>0.8461538462</v>
      </c>
      <c r="H550" s="14">
        <v>34.0</v>
      </c>
      <c r="I550" s="14">
        <v>38.0</v>
      </c>
      <c r="J550" s="14">
        <v>1.0</v>
      </c>
      <c r="K550" s="14">
        <v>4.0</v>
      </c>
      <c r="L550" s="14">
        <v>49.0</v>
      </c>
      <c r="M550" s="14">
        <v>54.0</v>
      </c>
      <c r="N550" s="14">
        <v>6.7</v>
      </c>
      <c r="O550" s="14" t="s">
        <v>143</v>
      </c>
      <c r="P550" s="14" t="s">
        <v>191</v>
      </c>
      <c r="Q550" s="26">
        <f t="shared" si="4"/>
        <v>0.8461538462</v>
      </c>
      <c r="R550" s="26">
        <f t="shared" si="5"/>
        <v>0.8947368421</v>
      </c>
      <c r="S550" s="26">
        <f t="shared" si="6"/>
        <v>0.02631578947</v>
      </c>
      <c r="T550" s="26">
        <f t="shared" si="7"/>
        <v>0.9074074074</v>
      </c>
      <c r="U550" s="26">
        <f>IF(B550="","",MIN(Q550/Targets!$B$2,1)*Targets!$D$2+MIN(G550/100/Targets!$B$3,1)*Targets!$D$3+MIN(T550/Targets!$B$4,1)*Targets!$D$4+MIN(R550/Targets!$B$5,1)*Targets!$D$5+MIN(N550/Targets!$B$6,1)*Targets!$D$6+MIN(Targets!$B$7/MAX(S550,0.0001),1)*Targets!$D$7)</f>
        <v>0.6778432248</v>
      </c>
    </row>
    <row r="551">
      <c r="A551" s="25">
        <v>46253.0</v>
      </c>
      <c r="B551" s="14" t="s">
        <v>84</v>
      </c>
      <c r="C551" s="14" t="s">
        <v>179</v>
      </c>
      <c r="D551" s="19" t="s">
        <v>121</v>
      </c>
      <c r="E551" s="14">
        <f t="shared" si="1"/>
        <v>15</v>
      </c>
      <c r="F551" s="19">
        <f t="shared" si="2"/>
        <v>10</v>
      </c>
      <c r="G551" s="20">
        <f t="shared" si="3"/>
        <v>0.6666666667</v>
      </c>
      <c r="H551" s="14">
        <v>44.0</v>
      </c>
      <c r="I551" s="14">
        <v>46.0</v>
      </c>
      <c r="J551" s="14">
        <v>1.0</v>
      </c>
      <c r="K551" s="14">
        <v>1.8</v>
      </c>
      <c r="L551" s="14">
        <v>47.0</v>
      </c>
      <c r="M551" s="14">
        <v>49.0</v>
      </c>
      <c r="N551" s="14">
        <v>7.5</v>
      </c>
      <c r="O551" s="14" t="s">
        <v>143</v>
      </c>
      <c r="P551" s="14" t="s">
        <v>168</v>
      </c>
      <c r="Q551" s="26">
        <f t="shared" si="4"/>
        <v>0.6666666667</v>
      </c>
      <c r="R551" s="26">
        <f t="shared" si="5"/>
        <v>0.9565217391</v>
      </c>
      <c r="S551" s="26">
        <f t="shared" si="6"/>
        <v>0.02173913043</v>
      </c>
      <c r="T551" s="26">
        <f t="shared" si="7"/>
        <v>0.9591836735</v>
      </c>
      <c r="U551" s="26">
        <f>IF(B551="","",MIN(Q551/Targets!$B$2,1)*Targets!$D$2+MIN(G551/100/Targets!$B$3,1)*Targets!$D$3+MIN(T551/Targets!$B$4,1)*Targets!$D$4+MIN(R551/Targets!$B$5,1)*Targets!$D$5+MIN(N551/Targets!$B$6,1)*Targets!$D$6+MIN(Targets!$B$7/MAX(S551,0.0001),1)*Targets!$D$7)</f>
        <v>0.6503703704</v>
      </c>
    </row>
    <row r="552">
      <c r="A552" s="25">
        <v>46253.0</v>
      </c>
      <c r="B552" s="14" t="s">
        <v>91</v>
      </c>
      <c r="C552" s="14" t="s">
        <v>188</v>
      </c>
      <c r="D552" s="19" t="s">
        <v>121</v>
      </c>
      <c r="E552" s="14">
        <f t="shared" si="1"/>
        <v>16</v>
      </c>
      <c r="F552" s="19">
        <f t="shared" si="2"/>
        <v>7</v>
      </c>
      <c r="G552" s="20">
        <f t="shared" si="3"/>
        <v>0.4375</v>
      </c>
      <c r="H552" s="14">
        <v>33.0</v>
      </c>
      <c r="I552" s="14">
        <v>38.0</v>
      </c>
      <c r="J552" s="14">
        <v>2.0</v>
      </c>
      <c r="K552" s="14">
        <v>3.3</v>
      </c>
      <c r="L552" s="14">
        <v>37.0</v>
      </c>
      <c r="M552" s="14">
        <v>43.0</v>
      </c>
      <c r="N552" s="14">
        <v>6.8</v>
      </c>
      <c r="O552" s="14" t="s">
        <v>143</v>
      </c>
      <c r="P552" s="14" t="s">
        <v>186</v>
      </c>
      <c r="Q552" s="26">
        <f t="shared" si="4"/>
        <v>0.4375</v>
      </c>
      <c r="R552" s="26">
        <f t="shared" si="5"/>
        <v>0.8684210526</v>
      </c>
      <c r="S552" s="26">
        <f t="shared" si="6"/>
        <v>0.05263157895</v>
      </c>
      <c r="T552" s="26">
        <f t="shared" si="7"/>
        <v>0.8604651163</v>
      </c>
      <c r="U552" s="26">
        <f>IF(B552="","",MIN(Q552/Targets!$B$2,1)*Targets!$D$2+MIN(G552/100/Targets!$B$3,1)*Targets!$D$3+MIN(T552/Targets!$B$4,1)*Targets!$D$4+MIN(R552/Targets!$B$5,1)*Targets!$D$5+MIN(N552/Targets!$B$6,1)*Targets!$D$6+MIN(Targets!$B$7/MAX(S552,0.0001),1)*Targets!$D$7)</f>
        <v>0.571353379</v>
      </c>
    </row>
    <row r="553">
      <c r="A553" s="25">
        <v>46253.0</v>
      </c>
      <c r="B553" s="14" t="s">
        <v>100</v>
      </c>
      <c r="C553" s="14" t="s">
        <v>190</v>
      </c>
      <c r="D553" s="19" t="s">
        <v>121</v>
      </c>
      <c r="E553" s="14">
        <f t="shared" si="1"/>
        <v>9</v>
      </c>
      <c r="F553" s="19">
        <f t="shared" si="2"/>
        <v>13</v>
      </c>
      <c r="G553" s="20">
        <f t="shared" si="3"/>
        <v>1.444444444</v>
      </c>
      <c r="H553" s="14">
        <v>38.0</v>
      </c>
      <c r="I553" s="14">
        <v>39.0</v>
      </c>
      <c r="J553" s="14">
        <v>2.0</v>
      </c>
      <c r="K553" s="14">
        <v>2.3</v>
      </c>
      <c r="L553" s="14">
        <v>45.0</v>
      </c>
      <c r="M553" s="14">
        <v>48.0</v>
      </c>
      <c r="N553" s="14">
        <v>7.7</v>
      </c>
      <c r="O553" s="14" t="s">
        <v>143</v>
      </c>
      <c r="P553" s="14" t="s">
        <v>168</v>
      </c>
      <c r="Q553" s="26">
        <f t="shared" si="4"/>
        <v>1.444444444</v>
      </c>
      <c r="R553" s="26">
        <f t="shared" si="5"/>
        <v>0.9743589744</v>
      </c>
      <c r="S553" s="26">
        <f t="shared" si="6"/>
        <v>0.05128205128</v>
      </c>
      <c r="T553" s="26">
        <f t="shared" si="7"/>
        <v>0.9375</v>
      </c>
      <c r="U553" s="26">
        <f>IF(B553="","",MIN(Q553/Targets!$B$2,1)*Targets!$D$2+MIN(G553/100/Targets!$B$3,1)*Targets!$D$3+MIN(T553/Targets!$B$4,1)*Targets!$D$4+MIN(R553/Targets!$B$5,1)*Targets!$D$5+MIN(N553/Targets!$B$6,1)*Targets!$D$6+MIN(Targets!$B$7/MAX(S553,0.0001),1)*Targets!$D$7)</f>
        <v>0.7023148148</v>
      </c>
    </row>
    <row r="554">
      <c r="A554" s="25">
        <v>46253.0</v>
      </c>
      <c r="B554" s="14" t="s">
        <v>109</v>
      </c>
      <c r="C554" s="14" t="s">
        <v>14</v>
      </c>
      <c r="D554" s="19" t="s">
        <v>121</v>
      </c>
      <c r="E554" s="14">
        <f t="shared" si="1"/>
        <v>12</v>
      </c>
      <c r="F554" s="19">
        <f t="shared" si="2"/>
        <v>10</v>
      </c>
      <c r="G554" s="20">
        <f t="shared" si="3"/>
        <v>0.8333333333</v>
      </c>
      <c r="H554" s="14">
        <v>38.0</v>
      </c>
      <c r="I554" s="14">
        <v>43.0</v>
      </c>
      <c r="J554" s="14">
        <v>3.0</v>
      </c>
      <c r="K554" s="14">
        <v>3.2</v>
      </c>
      <c r="L554" s="14">
        <v>47.0</v>
      </c>
      <c r="M554" s="14">
        <v>50.0</v>
      </c>
      <c r="N554" s="14">
        <v>6.9</v>
      </c>
      <c r="O554" s="14" t="s">
        <v>143</v>
      </c>
      <c r="P554" s="14" t="s">
        <v>186</v>
      </c>
      <c r="Q554" s="26">
        <f t="shared" si="4"/>
        <v>0.8333333333</v>
      </c>
      <c r="R554" s="26">
        <f t="shared" si="5"/>
        <v>0.8837209302</v>
      </c>
      <c r="S554" s="26">
        <f t="shared" si="6"/>
        <v>0.06976744186</v>
      </c>
      <c r="T554" s="26">
        <f t="shared" si="7"/>
        <v>0.94</v>
      </c>
      <c r="U554" s="26">
        <f>IF(B554="","",MIN(Q554/Targets!$B$2,1)*Targets!$D$2+MIN(G554/100/Targets!$B$3,1)*Targets!$D$3+MIN(T554/Targets!$B$4,1)*Targets!$D$4+MIN(R554/Targets!$B$5,1)*Targets!$D$5+MIN(N554/Targets!$B$6,1)*Targets!$D$6+MIN(Targets!$B$7/MAX(S554,0.0001),1)*Targets!$D$7)</f>
        <v>0.6477359419</v>
      </c>
    </row>
    <row r="555">
      <c r="A555" s="25">
        <v>46253.0</v>
      </c>
      <c r="B555" s="14" t="s">
        <v>115</v>
      </c>
      <c r="C555" s="14" t="s">
        <v>167</v>
      </c>
      <c r="D555" s="19" t="s">
        <v>121</v>
      </c>
      <c r="E555" s="14">
        <f t="shared" si="1"/>
        <v>10</v>
      </c>
      <c r="F555" s="19">
        <f t="shared" si="2"/>
        <v>9</v>
      </c>
      <c r="G555" s="20">
        <f t="shared" si="3"/>
        <v>0.9</v>
      </c>
      <c r="H555" s="14">
        <v>27.0</v>
      </c>
      <c r="I555" s="14">
        <v>31.0</v>
      </c>
      <c r="J555" s="14">
        <v>2.0</v>
      </c>
      <c r="K555" s="14">
        <v>5.2</v>
      </c>
      <c r="L555" s="14">
        <v>31.0</v>
      </c>
      <c r="M555" s="14">
        <v>40.0</v>
      </c>
      <c r="N555" s="14">
        <v>6.4</v>
      </c>
      <c r="O555" s="14" t="s">
        <v>143</v>
      </c>
      <c r="P555" s="14" t="s">
        <v>189</v>
      </c>
      <c r="Q555" s="26">
        <f t="shared" si="4"/>
        <v>0.9</v>
      </c>
      <c r="R555" s="26">
        <f t="shared" si="5"/>
        <v>0.8709677419</v>
      </c>
      <c r="S555" s="26">
        <f t="shared" si="6"/>
        <v>0.06451612903</v>
      </c>
      <c r="T555" s="26">
        <f t="shared" si="7"/>
        <v>0.775</v>
      </c>
      <c r="U555" s="26">
        <f>IF(B555="","",MIN(Q555/Targets!$B$2,1)*Targets!$D$2+MIN(G555/100/Targets!$B$3,1)*Targets!$D$3+MIN(T555/Targets!$B$4,1)*Targets!$D$4+MIN(R555/Targets!$B$5,1)*Targets!$D$5+MIN(N555/Targets!$B$6,1)*Targets!$D$6+MIN(Targets!$B$7/MAX(S555,0.0001),1)*Targets!$D$7)</f>
        <v>0.6386164605</v>
      </c>
    </row>
    <row r="556">
      <c r="A556" s="25">
        <v>46253.0</v>
      </c>
      <c r="B556" s="14" t="s">
        <v>118</v>
      </c>
      <c r="C556" s="14" t="s">
        <v>169</v>
      </c>
      <c r="D556" s="19" t="s">
        <v>121</v>
      </c>
      <c r="E556" s="14">
        <f t="shared" si="1"/>
        <v>7</v>
      </c>
      <c r="F556" s="19">
        <f t="shared" si="2"/>
        <v>15</v>
      </c>
      <c r="G556" s="20">
        <f t="shared" si="3"/>
        <v>2.142857143</v>
      </c>
      <c r="H556" s="14">
        <v>53.0</v>
      </c>
      <c r="I556" s="14">
        <v>54.0</v>
      </c>
      <c r="J556" s="14">
        <v>3.0</v>
      </c>
      <c r="K556" s="14">
        <v>2.0</v>
      </c>
      <c r="L556" s="14">
        <v>57.0</v>
      </c>
      <c r="M556" s="14">
        <v>64.0</v>
      </c>
      <c r="N556" s="14">
        <v>8.2</v>
      </c>
      <c r="O556" s="14" t="s">
        <v>143</v>
      </c>
      <c r="P556" s="14" t="s">
        <v>187</v>
      </c>
      <c r="Q556" s="26">
        <f t="shared" si="4"/>
        <v>2.142857143</v>
      </c>
      <c r="R556" s="26">
        <f t="shared" si="5"/>
        <v>0.9814814815</v>
      </c>
      <c r="S556" s="26">
        <f t="shared" si="6"/>
        <v>0.05555555556</v>
      </c>
      <c r="T556" s="26">
        <f t="shared" si="7"/>
        <v>0.890625</v>
      </c>
      <c r="U556" s="26">
        <f>IF(B556="","",MIN(Q556/Targets!$B$2,1)*Targets!$D$2+MIN(G556/100/Targets!$B$3,1)*Targets!$D$3+MIN(T556/Targets!$B$4,1)*Targets!$D$4+MIN(R556/Targets!$B$5,1)*Targets!$D$5+MIN(N556/Targets!$B$6,1)*Targets!$D$6+MIN(Targets!$B$7/MAX(S556,0.0001),1)*Targets!$D$7)</f>
        <v>0.6955803571</v>
      </c>
    </row>
    <row r="557">
      <c r="A557" s="25">
        <v>46253.0</v>
      </c>
      <c r="B557" s="14" t="s">
        <v>123</v>
      </c>
      <c r="C557" s="14" t="s">
        <v>171</v>
      </c>
      <c r="D557" s="19" t="s">
        <v>121</v>
      </c>
      <c r="E557" s="14">
        <f t="shared" si="1"/>
        <v>16</v>
      </c>
      <c r="F557" s="19">
        <f t="shared" si="2"/>
        <v>14</v>
      </c>
      <c r="G557" s="20">
        <f t="shared" si="3"/>
        <v>0.875</v>
      </c>
      <c r="H557" s="14">
        <v>54.0</v>
      </c>
      <c r="I557" s="14">
        <v>57.0</v>
      </c>
      <c r="J557" s="14">
        <v>2.0</v>
      </c>
      <c r="K557" s="14">
        <v>3.5</v>
      </c>
      <c r="L557" s="14">
        <v>57.0</v>
      </c>
      <c r="M557" s="14">
        <v>63.0</v>
      </c>
      <c r="N557" s="14">
        <v>6.4</v>
      </c>
      <c r="O557" s="14" t="s">
        <v>143</v>
      </c>
      <c r="P557" s="14" t="s">
        <v>191</v>
      </c>
      <c r="Q557" s="26">
        <f t="shared" si="4"/>
        <v>0.875</v>
      </c>
      <c r="R557" s="26">
        <f t="shared" si="5"/>
        <v>0.9473684211</v>
      </c>
      <c r="S557" s="26">
        <f t="shared" si="6"/>
        <v>0.0350877193</v>
      </c>
      <c r="T557" s="26">
        <f t="shared" si="7"/>
        <v>0.9047619048</v>
      </c>
      <c r="U557" s="26">
        <f>IF(B557="","",MIN(Q557/Targets!$B$2,1)*Targets!$D$2+MIN(G557/100/Targets!$B$3,1)*Targets!$D$3+MIN(T557/Targets!$B$4,1)*Targets!$D$4+MIN(R557/Targets!$B$5,1)*Targets!$D$5+MIN(N557/Targets!$B$6,1)*Targets!$D$6+MIN(Targets!$B$7/MAX(S557,0.0001),1)*Targets!$D$7)</f>
        <v>0.6883741701</v>
      </c>
    </row>
    <row r="558">
      <c r="A558" s="25">
        <v>46253.0</v>
      </c>
      <c r="B558" s="14" t="s">
        <v>126</v>
      </c>
      <c r="C558" s="14" t="s">
        <v>179</v>
      </c>
      <c r="D558" s="19" t="s">
        <v>121</v>
      </c>
      <c r="E558" s="14">
        <f t="shared" si="1"/>
        <v>11</v>
      </c>
      <c r="F558" s="19">
        <f t="shared" si="2"/>
        <v>9</v>
      </c>
      <c r="G558" s="20">
        <f t="shared" si="3"/>
        <v>0.8181818182</v>
      </c>
      <c r="H558" s="14">
        <v>50.0</v>
      </c>
      <c r="I558" s="14">
        <v>51.0</v>
      </c>
      <c r="J558" s="14">
        <v>3.0</v>
      </c>
      <c r="K558" s="14">
        <v>2.2</v>
      </c>
      <c r="L558" s="14">
        <v>46.0</v>
      </c>
      <c r="M558" s="14">
        <v>52.0</v>
      </c>
      <c r="N558" s="14">
        <v>7.3</v>
      </c>
      <c r="O558" s="14" t="s">
        <v>143</v>
      </c>
      <c r="P558" s="14" t="s">
        <v>191</v>
      </c>
      <c r="Q558" s="26">
        <f t="shared" si="4"/>
        <v>0.8181818182</v>
      </c>
      <c r="R558" s="26">
        <f t="shared" si="5"/>
        <v>0.9803921569</v>
      </c>
      <c r="S558" s="26">
        <f t="shared" si="6"/>
        <v>0.05882352941</v>
      </c>
      <c r="T558" s="26">
        <f t="shared" si="7"/>
        <v>0.8846153846</v>
      </c>
      <c r="U558" s="26">
        <f>IF(B558="","",MIN(Q558/Targets!$B$2,1)*Targets!$D$2+MIN(G558/100/Targets!$B$3,1)*Targets!$D$3+MIN(T558/Targets!$B$4,1)*Targets!$D$4+MIN(R558/Targets!$B$5,1)*Targets!$D$5+MIN(N558/Targets!$B$6,1)*Targets!$D$6+MIN(Targets!$B$7/MAX(S558,0.0001),1)*Targets!$D$7)</f>
        <v>0.666981352</v>
      </c>
    </row>
    <row r="559">
      <c r="A559" s="25">
        <v>46253.0</v>
      </c>
      <c r="B559" s="14" t="s">
        <v>129</v>
      </c>
      <c r="C559" s="14" t="s">
        <v>188</v>
      </c>
      <c r="D559" s="19" t="s">
        <v>121</v>
      </c>
      <c r="E559" s="14">
        <f t="shared" si="1"/>
        <v>9</v>
      </c>
      <c r="F559" s="19">
        <f t="shared" si="2"/>
        <v>9</v>
      </c>
      <c r="G559" s="20">
        <f t="shared" si="3"/>
        <v>1</v>
      </c>
      <c r="H559" s="14">
        <v>38.0</v>
      </c>
      <c r="I559" s="14">
        <v>41.0</v>
      </c>
      <c r="J559" s="14">
        <v>2.0</v>
      </c>
      <c r="K559" s="14">
        <v>4.4</v>
      </c>
      <c r="L559" s="14">
        <v>46.0</v>
      </c>
      <c r="M559" s="14">
        <v>58.0</v>
      </c>
      <c r="N559" s="14">
        <v>7.8</v>
      </c>
      <c r="O559" s="14" t="s">
        <v>143</v>
      </c>
      <c r="P559" s="14" t="s">
        <v>144</v>
      </c>
      <c r="Q559" s="26">
        <f t="shared" si="4"/>
        <v>1</v>
      </c>
      <c r="R559" s="26">
        <f t="shared" si="5"/>
        <v>0.9268292683</v>
      </c>
      <c r="S559" s="26">
        <f t="shared" si="6"/>
        <v>0.0487804878</v>
      </c>
      <c r="T559" s="26">
        <f t="shared" si="7"/>
        <v>0.7931034483</v>
      </c>
      <c r="U559" s="26">
        <f>IF(B559="","",MIN(Q559/Targets!$B$2,1)*Targets!$D$2+MIN(G559/100/Targets!$B$3,1)*Targets!$D$3+MIN(T559/Targets!$B$4,1)*Targets!$D$4+MIN(R559/Targets!$B$5,1)*Targets!$D$5+MIN(N559/Targets!$B$6,1)*Targets!$D$6+MIN(Targets!$B$7/MAX(S559,0.0001),1)*Targets!$D$7)</f>
        <v>0.6818587048</v>
      </c>
    </row>
    <row r="560">
      <c r="A560" s="25">
        <v>46253.0</v>
      </c>
      <c r="B560" s="14" t="s">
        <v>132</v>
      </c>
      <c r="C560" s="14" t="s">
        <v>190</v>
      </c>
      <c r="D560" s="19" t="s">
        <v>121</v>
      </c>
      <c r="E560" s="14">
        <f t="shared" si="1"/>
        <v>7</v>
      </c>
      <c r="F560" s="19">
        <f t="shared" si="2"/>
        <v>14</v>
      </c>
      <c r="G560" s="20">
        <f t="shared" si="3"/>
        <v>2</v>
      </c>
      <c r="H560" s="14">
        <v>33.0</v>
      </c>
      <c r="I560" s="14">
        <v>38.0</v>
      </c>
      <c r="J560" s="14">
        <v>1.0</v>
      </c>
      <c r="K560" s="14">
        <v>2.7</v>
      </c>
      <c r="L560" s="14">
        <v>41.0</v>
      </c>
      <c r="M560" s="14">
        <v>51.0</v>
      </c>
      <c r="N560" s="14">
        <v>6.4</v>
      </c>
      <c r="O560" s="14" t="s">
        <v>143</v>
      </c>
      <c r="P560" s="14" t="s">
        <v>187</v>
      </c>
      <c r="Q560" s="26">
        <f t="shared" si="4"/>
        <v>2</v>
      </c>
      <c r="R560" s="26">
        <f t="shared" si="5"/>
        <v>0.8684210526</v>
      </c>
      <c r="S560" s="26">
        <f t="shared" si="6"/>
        <v>0.02631578947</v>
      </c>
      <c r="T560" s="26">
        <f t="shared" si="7"/>
        <v>0.8039215686</v>
      </c>
      <c r="U560" s="26">
        <f>IF(B560="","",MIN(Q560/Targets!$B$2,1)*Targets!$D$2+MIN(G560/100/Targets!$B$3,1)*Targets!$D$3+MIN(T560/Targets!$B$4,1)*Targets!$D$4+MIN(R560/Targets!$B$5,1)*Targets!$D$5+MIN(N560/Targets!$B$6,1)*Targets!$D$6+MIN(Targets!$B$7/MAX(S560,0.0001),1)*Targets!$D$7)</f>
        <v>0.6692012798</v>
      </c>
    </row>
    <row r="561">
      <c r="A561" s="25">
        <v>46253.0</v>
      </c>
      <c r="B561" s="14" t="s">
        <v>135</v>
      </c>
      <c r="C561" s="14" t="s">
        <v>169</v>
      </c>
      <c r="D561" s="19" t="s">
        <v>121</v>
      </c>
      <c r="E561" s="14">
        <f t="shared" si="1"/>
        <v>15</v>
      </c>
      <c r="F561" s="19">
        <f t="shared" si="2"/>
        <v>12</v>
      </c>
      <c r="G561" s="20">
        <f t="shared" si="3"/>
        <v>0.8</v>
      </c>
      <c r="H561" s="14">
        <v>32.0</v>
      </c>
      <c r="I561" s="14">
        <v>36.0</v>
      </c>
      <c r="J561" s="14">
        <v>2.0</v>
      </c>
      <c r="K561" s="14">
        <v>4.0</v>
      </c>
      <c r="L561" s="14">
        <v>46.0</v>
      </c>
      <c r="M561" s="14">
        <v>55.0</v>
      </c>
      <c r="N561" s="14">
        <v>7.0</v>
      </c>
      <c r="O561" s="14" t="s">
        <v>143</v>
      </c>
      <c r="P561" s="14" t="s">
        <v>186</v>
      </c>
      <c r="Q561" s="26">
        <f t="shared" si="4"/>
        <v>0.8</v>
      </c>
      <c r="R561" s="26">
        <f t="shared" si="5"/>
        <v>0.8888888889</v>
      </c>
      <c r="S561" s="26">
        <f t="shared" si="6"/>
        <v>0.05555555556</v>
      </c>
      <c r="T561" s="26">
        <f t="shared" si="7"/>
        <v>0.8363636364</v>
      </c>
      <c r="U561" s="26">
        <f>IF(B561="","",MIN(Q561/Targets!$B$2,1)*Targets!$D$2+MIN(G561/100/Targets!$B$3,1)*Targets!$D$3+MIN(T561/Targets!$B$4,1)*Targets!$D$4+MIN(R561/Targets!$B$5,1)*Targets!$D$5+MIN(N561/Targets!$B$6,1)*Targets!$D$6+MIN(Targets!$B$7/MAX(S561,0.0001),1)*Targets!$D$7)</f>
        <v>0.650189261</v>
      </c>
    </row>
    <row r="562">
      <c r="A562" s="25">
        <v>46254.0</v>
      </c>
      <c r="B562" s="14" t="s">
        <v>10</v>
      </c>
      <c r="C562" s="14" t="s">
        <v>14</v>
      </c>
      <c r="D562" s="19" t="s">
        <v>121</v>
      </c>
      <c r="E562" s="14">
        <f t="shared" si="1"/>
        <v>16</v>
      </c>
      <c r="F562" s="19">
        <f t="shared" si="2"/>
        <v>12</v>
      </c>
      <c r="G562" s="20">
        <f t="shared" si="3"/>
        <v>0.75</v>
      </c>
      <c r="H562" s="14">
        <v>35.0</v>
      </c>
      <c r="I562" s="14">
        <v>39.0</v>
      </c>
      <c r="J562" s="14">
        <v>1.0</v>
      </c>
      <c r="K562" s="14">
        <v>2.8</v>
      </c>
      <c r="L562" s="14">
        <v>43.0</v>
      </c>
      <c r="M562" s="14">
        <v>52.0</v>
      </c>
      <c r="N562" s="14">
        <v>7.3</v>
      </c>
      <c r="O562" s="14" t="s">
        <v>143</v>
      </c>
      <c r="P562" s="14" t="s">
        <v>186</v>
      </c>
      <c r="Q562" s="26">
        <f t="shared" si="4"/>
        <v>0.75</v>
      </c>
      <c r="R562" s="26">
        <f t="shared" si="5"/>
        <v>0.8974358974</v>
      </c>
      <c r="S562" s="26">
        <f t="shared" si="6"/>
        <v>0.02564102564</v>
      </c>
      <c r="T562" s="26">
        <f t="shared" si="7"/>
        <v>0.8269230769</v>
      </c>
      <c r="U562" s="26">
        <f>IF(B562="","",MIN(Q562/Targets!$B$2,1)*Targets!$D$2+MIN(G562/100/Targets!$B$3,1)*Targets!$D$3+MIN(T562/Targets!$B$4,1)*Targets!$D$4+MIN(R562/Targets!$B$5,1)*Targets!$D$5+MIN(N562/Targets!$B$6,1)*Targets!$D$6+MIN(Targets!$B$7/MAX(S562,0.0001),1)*Targets!$D$7)</f>
        <v>0.6486875843</v>
      </c>
    </row>
    <row r="563">
      <c r="A563" s="25">
        <v>46254.0</v>
      </c>
      <c r="B563" s="14" t="s">
        <v>25</v>
      </c>
      <c r="C563" s="14" t="s">
        <v>167</v>
      </c>
      <c r="D563" s="19" t="s">
        <v>121</v>
      </c>
      <c r="E563" s="14">
        <f t="shared" si="1"/>
        <v>14</v>
      </c>
      <c r="F563" s="19">
        <f t="shared" si="2"/>
        <v>15</v>
      </c>
      <c r="G563" s="20">
        <f t="shared" si="3"/>
        <v>1.071428571</v>
      </c>
      <c r="H563" s="14">
        <v>55.0</v>
      </c>
      <c r="I563" s="14">
        <v>55.0</v>
      </c>
      <c r="J563" s="14">
        <v>1.0</v>
      </c>
      <c r="K563" s="14">
        <v>2.7</v>
      </c>
      <c r="L563" s="14">
        <v>58.0</v>
      </c>
      <c r="M563" s="14">
        <v>64.0</v>
      </c>
      <c r="N563" s="14">
        <v>7.3</v>
      </c>
      <c r="O563" s="14" t="s">
        <v>143</v>
      </c>
      <c r="P563" s="14" t="s">
        <v>186</v>
      </c>
      <c r="Q563" s="26">
        <f t="shared" si="4"/>
        <v>1.071428571</v>
      </c>
      <c r="R563" s="26">
        <f t="shared" si="5"/>
        <v>1</v>
      </c>
      <c r="S563" s="26">
        <f t="shared" si="6"/>
        <v>0.01818181818</v>
      </c>
      <c r="T563" s="26">
        <f t="shared" si="7"/>
        <v>0.90625</v>
      </c>
      <c r="U563" s="26">
        <f>IF(B563="","",MIN(Q563/Targets!$B$2,1)*Targets!$D$2+MIN(G563/100/Targets!$B$3,1)*Targets!$D$3+MIN(T563/Targets!$B$4,1)*Targets!$D$4+MIN(R563/Targets!$B$5,1)*Targets!$D$5+MIN(N563/Targets!$B$6,1)*Targets!$D$6+MIN(Targets!$B$7/MAX(S563,0.0001),1)*Targets!$D$7)</f>
        <v>0.7035714286</v>
      </c>
    </row>
    <row r="564">
      <c r="A564" s="25">
        <v>46254.0</v>
      </c>
      <c r="B564" s="14" t="s">
        <v>37</v>
      </c>
      <c r="C564" s="14" t="s">
        <v>169</v>
      </c>
      <c r="D564" s="19" t="s">
        <v>121</v>
      </c>
      <c r="E564" s="14">
        <f t="shared" si="1"/>
        <v>7</v>
      </c>
      <c r="F564" s="19">
        <f t="shared" si="2"/>
        <v>7</v>
      </c>
      <c r="G564" s="20">
        <f t="shared" si="3"/>
        <v>1</v>
      </c>
      <c r="H564" s="14">
        <v>24.0</v>
      </c>
      <c r="I564" s="14">
        <v>28.0</v>
      </c>
      <c r="J564" s="14">
        <v>1.0</v>
      </c>
      <c r="K564" s="14">
        <v>4.4</v>
      </c>
      <c r="L564" s="14">
        <v>34.0</v>
      </c>
      <c r="M564" s="14">
        <v>47.0</v>
      </c>
      <c r="N564" s="14">
        <v>7.0</v>
      </c>
      <c r="O564" s="14" t="s">
        <v>143</v>
      </c>
      <c r="P564" s="14" t="s">
        <v>144</v>
      </c>
      <c r="Q564" s="26">
        <f t="shared" si="4"/>
        <v>1</v>
      </c>
      <c r="R564" s="26">
        <f t="shared" si="5"/>
        <v>0.8571428571</v>
      </c>
      <c r="S564" s="26">
        <f t="shared" si="6"/>
        <v>0.03571428571</v>
      </c>
      <c r="T564" s="26">
        <f t="shared" si="7"/>
        <v>0.7234042553</v>
      </c>
      <c r="U564" s="26">
        <f>IF(B564="","",MIN(Q564/Targets!$B$2,1)*Targets!$D$2+MIN(G564/100/Targets!$B$3,1)*Targets!$D$3+MIN(T564/Targets!$B$4,1)*Targets!$D$4+MIN(R564/Targets!$B$5,1)*Targets!$D$5+MIN(N564/Targets!$B$6,1)*Targets!$D$6+MIN(Targets!$B$7/MAX(S564,0.0001),1)*Targets!$D$7)</f>
        <v>0.6592390551</v>
      </c>
    </row>
    <row r="565">
      <c r="A565" s="25">
        <v>46254.0</v>
      </c>
      <c r="B565" s="14" t="s">
        <v>42</v>
      </c>
      <c r="C565" s="14" t="s">
        <v>171</v>
      </c>
      <c r="D565" s="19" t="s">
        <v>121</v>
      </c>
      <c r="E565" s="14">
        <f t="shared" si="1"/>
        <v>14</v>
      </c>
      <c r="F565" s="19">
        <f t="shared" si="2"/>
        <v>6</v>
      </c>
      <c r="G565" s="20">
        <f t="shared" si="3"/>
        <v>0.4285714286</v>
      </c>
      <c r="H565" s="14">
        <v>52.0</v>
      </c>
      <c r="I565" s="14">
        <v>56.0</v>
      </c>
      <c r="J565" s="14">
        <v>1.0</v>
      </c>
      <c r="K565" s="14">
        <v>2.4</v>
      </c>
      <c r="L565" s="14">
        <v>58.0</v>
      </c>
      <c r="M565" s="14">
        <v>61.0</v>
      </c>
      <c r="N565" s="14">
        <v>8.2</v>
      </c>
      <c r="O565" s="14" t="s">
        <v>143</v>
      </c>
      <c r="P565" s="14" t="s">
        <v>168</v>
      </c>
      <c r="Q565" s="26">
        <f t="shared" si="4"/>
        <v>0.4285714286</v>
      </c>
      <c r="R565" s="26">
        <f t="shared" si="5"/>
        <v>0.9285714286</v>
      </c>
      <c r="S565" s="26">
        <f t="shared" si="6"/>
        <v>0.01785714286</v>
      </c>
      <c r="T565" s="26">
        <f t="shared" si="7"/>
        <v>0.9508196721</v>
      </c>
      <c r="U565" s="26">
        <f>IF(B565="","",MIN(Q565/Targets!$B$2,1)*Targets!$D$2+MIN(G565/100/Targets!$B$3,1)*Targets!$D$3+MIN(T565/Targets!$B$4,1)*Targets!$D$4+MIN(R565/Targets!$B$5,1)*Targets!$D$5+MIN(N565/Targets!$B$6,1)*Targets!$D$6+MIN(Targets!$B$7/MAX(S565,0.0001),1)*Targets!$D$7)</f>
        <v>0.593283208</v>
      </c>
    </row>
    <row r="566">
      <c r="A566" s="25">
        <v>46254.0</v>
      </c>
      <c r="B566" s="14" t="s">
        <v>46</v>
      </c>
      <c r="C566" s="14" t="s">
        <v>179</v>
      </c>
      <c r="D566" s="19" t="s">
        <v>121</v>
      </c>
      <c r="E566" s="14">
        <f t="shared" si="1"/>
        <v>15</v>
      </c>
      <c r="F566" s="19">
        <f t="shared" si="2"/>
        <v>6</v>
      </c>
      <c r="G566" s="20">
        <f t="shared" si="3"/>
        <v>0.4</v>
      </c>
      <c r="H566" s="14">
        <v>20.0</v>
      </c>
      <c r="I566" s="14">
        <v>25.0</v>
      </c>
      <c r="J566" s="14">
        <v>1.0</v>
      </c>
      <c r="K566" s="14">
        <v>5.4</v>
      </c>
      <c r="L566" s="14">
        <v>34.0</v>
      </c>
      <c r="M566" s="14">
        <v>44.0</v>
      </c>
      <c r="N566" s="14">
        <v>6.6</v>
      </c>
      <c r="O566" s="14" t="s">
        <v>143</v>
      </c>
      <c r="P566" s="14" t="s">
        <v>189</v>
      </c>
      <c r="Q566" s="26">
        <f t="shared" si="4"/>
        <v>0.4</v>
      </c>
      <c r="R566" s="26">
        <f t="shared" si="5"/>
        <v>0.8</v>
      </c>
      <c r="S566" s="26">
        <f t="shared" si="6"/>
        <v>0.04</v>
      </c>
      <c r="T566" s="26">
        <f t="shared" si="7"/>
        <v>0.7727272727</v>
      </c>
      <c r="U566" s="26">
        <f>IF(B566="","",MIN(Q566/Targets!$B$2,1)*Targets!$D$2+MIN(G566/100/Targets!$B$3,1)*Targets!$D$3+MIN(T566/Targets!$B$4,1)*Targets!$D$4+MIN(R566/Targets!$B$5,1)*Targets!$D$5+MIN(N566/Targets!$B$6,1)*Targets!$D$6+MIN(Targets!$B$7/MAX(S566,0.0001),1)*Targets!$D$7)</f>
        <v>0.5396116048</v>
      </c>
    </row>
    <row r="567">
      <c r="A567" s="25">
        <v>46254.0</v>
      </c>
      <c r="B567" s="14" t="s">
        <v>53</v>
      </c>
      <c r="C567" s="14" t="s">
        <v>14</v>
      </c>
      <c r="D567" s="19" t="s">
        <v>121</v>
      </c>
      <c r="E567" s="14">
        <f t="shared" si="1"/>
        <v>15</v>
      </c>
      <c r="F567" s="19">
        <f t="shared" si="2"/>
        <v>15</v>
      </c>
      <c r="G567" s="20">
        <f t="shared" si="3"/>
        <v>1</v>
      </c>
      <c r="H567" s="14">
        <v>32.0</v>
      </c>
      <c r="I567" s="14">
        <v>34.0</v>
      </c>
      <c r="J567" s="14">
        <v>1.0</v>
      </c>
      <c r="K567" s="14">
        <v>2.2</v>
      </c>
      <c r="L567" s="14">
        <v>43.0</v>
      </c>
      <c r="M567" s="14">
        <v>46.0</v>
      </c>
      <c r="N567" s="14">
        <v>7.6</v>
      </c>
      <c r="O567" s="14" t="s">
        <v>143</v>
      </c>
      <c r="P567" s="14" t="s">
        <v>178</v>
      </c>
      <c r="Q567" s="26">
        <f t="shared" si="4"/>
        <v>1</v>
      </c>
      <c r="R567" s="26">
        <f t="shared" si="5"/>
        <v>0.9411764706</v>
      </c>
      <c r="S567" s="26">
        <f t="shared" si="6"/>
        <v>0.02941176471</v>
      </c>
      <c r="T567" s="26">
        <f t="shared" si="7"/>
        <v>0.9347826087</v>
      </c>
      <c r="U567" s="26">
        <f>IF(B567="","",MIN(Q567/Targets!$B$2,1)*Targets!$D$2+MIN(G567/100/Targets!$B$3,1)*Targets!$D$3+MIN(T567/Targets!$B$4,1)*Targets!$D$4+MIN(R567/Targets!$B$5,1)*Targets!$D$5+MIN(N567/Targets!$B$6,1)*Targets!$D$6+MIN(Targets!$B$7/MAX(S567,0.0001),1)*Targets!$D$7)</f>
        <v>0.7019401445</v>
      </c>
    </row>
    <row r="568">
      <c r="A568" s="25">
        <v>46254.0</v>
      </c>
      <c r="B568" s="14" t="s">
        <v>65</v>
      </c>
      <c r="C568" s="14" t="s">
        <v>167</v>
      </c>
      <c r="D568" s="19" t="s">
        <v>121</v>
      </c>
      <c r="E568" s="14">
        <f t="shared" si="1"/>
        <v>16</v>
      </c>
      <c r="F568" s="19">
        <f t="shared" si="2"/>
        <v>8</v>
      </c>
      <c r="G568" s="20">
        <f t="shared" si="3"/>
        <v>0.5</v>
      </c>
      <c r="H568" s="14">
        <v>20.0</v>
      </c>
      <c r="I568" s="14">
        <v>23.0</v>
      </c>
      <c r="J568" s="14">
        <v>1.0</v>
      </c>
      <c r="K568" s="14">
        <v>4.7</v>
      </c>
      <c r="L568" s="14">
        <v>31.0</v>
      </c>
      <c r="M568" s="14">
        <v>39.0</v>
      </c>
      <c r="N568" s="14">
        <v>6.4</v>
      </c>
      <c r="O568" s="14" t="s">
        <v>143</v>
      </c>
      <c r="P568" s="14" t="s">
        <v>189</v>
      </c>
      <c r="Q568" s="26">
        <f t="shared" si="4"/>
        <v>0.5</v>
      </c>
      <c r="R568" s="26">
        <f t="shared" si="5"/>
        <v>0.8695652174</v>
      </c>
      <c r="S568" s="26">
        <f t="shared" si="6"/>
        <v>0.04347826087</v>
      </c>
      <c r="T568" s="26">
        <f t="shared" si="7"/>
        <v>0.7948717949</v>
      </c>
      <c r="U568" s="26">
        <f>IF(B568="","",MIN(Q568/Targets!$B$2,1)*Targets!$D$2+MIN(G568/100/Targets!$B$3,1)*Targets!$D$3+MIN(T568/Targets!$B$4,1)*Targets!$D$4+MIN(R568/Targets!$B$5,1)*Targets!$D$5+MIN(N568/Targets!$B$6,1)*Targets!$D$6+MIN(Targets!$B$7/MAX(S568,0.0001),1)*Targets!$D$7)</f>
        <v>0.5739847529</v>
      </c>
    </row>
    <row r="569">
      <c r="A569" s="25">
        <v>46254.0</v>
      </c>
      <c r="B569" s="14" t="s">
        <v>73</v>
      </c>
      <c r="C569" s="14" t="s">
        <v>169</v>
      </c>
      <c r="D569" s="19" t="s">
        <v>121</v>
      </c>
      <c r="E569" s="14">
        <f t="shared" si="1"/>
        <v>8</v>
      </c>
      <c r="F569" s="19">
        <f t="shared" si="2"/>
        <v>10</v>
      </c>
      <c r="G569" s="20">
        <f t="shared" si="3"/>
        <v>1.25</v>
      </c>
      <c r="H569" s="14">
        <v>37.0</v>
      </c>
      <c r="I569" s="14">
        <v>40.0</v>
      </c>
      <c r="J569" s="14">
        <v>1.0</v>
      </c>
      <c r="K569" s="14">
        <v>2.9</v>
      </c>
      <c r="L569" s="14">
        <v>48.0</v>
      </c>
      <c r="M569" s="14">
        <v>53.0</v>
      </c>
      <c r="N569" s="14">
        <v>7.7</v>
      </c>
      <c r="O569" s="14" t="s">
        <v>143</v>
      </c>
      <c r="P569" s="14" t="s">
        <v>186</v>
      </c>
      <c r="Q569" s="26">
        <f t="shared" si="4"/>
        <v>1.25</v>
      </c>
      <c r="R569" s="26">
        <f t="shared" si="5"/>
        <v>0.925</v>
      </c>
      <c r="S569" s="26">
        <f t="shared" si="6"/>
        <v>0.025</v>
      </c>
      <c r="T569" s="26">
        <f t="shared" si="7"/>
        <v>0.9056603774</v>
      </c>
      <c r="U569" s="26">
        <f>IF(B569="","",MIN(Q569/Targets!$B$2,1)*Targets!$D$2+MIN(G569/100/Targets!$B$3,1)*Targets!$D$3+MIN(T569/Targets!$B$4,1)*Targets!$D$4+MIN(R569/Targets!$B$5,1)*Targets!$D$5+MIN(N569/Targets!$B$6,1)*Targets!$D$6+MIN(Targets!$B$7/MAX(S569,0.0001),1)*Targets!$D$7)</f>
        <v>0.7002192982</v>
      </c>
    </row>
    <row r="570">
      <c r="A570" s="25">
        <v>46254.0</v>
      </c>
      <c r="B570" s="14" t="s">
        <v>78</v>
      </c>
      <c r="C570" s="14" t="s">
        <v>171</v>
      </c>
      <c r="D570" s="19" t="s">
        <v>121</v>
      </c>
      <c r="E570" s="14">
        <f t="shared" si="1"/>
        <v>7</v>
      </c>
      <c r="F570" s="19">
        <f t="shared" si="2"/>
        <v>11</v>
      </c>
      <c r="G570" s="20">
        <f t="shared" si="3"/>
        <v>1.571428571</v>
      </c>
      <c r="H570" s="14">
        <v>19.0</v>
      </c>
      <c r="I570" s="14">
        <v>22.0</v>
      </c>
      <c r="J570" s="14">
        <v>1.0</v>
      </c>
      <c r="K570" s="14">
        <v>5.3</v>
      </c>
      <c r="L570" s="14">
        <v>26.0</v>
      </c>
      <c r="M570" s="14">
        <v>37.0</v>
      </c>
      <c r="N570" s="14">
        <v>6.7</v>
      </c>
      <c r="O570" s="14" t="s">
        <v>143</v>
      </c>
      <c r="P570" s="14" t="s">
        <v>144</v>
      </c>
      <c r="Q570" s="26">
        <f t="shared" si="4"/>
        <v>1.571428571</v>
      </c>
      <c r="R570" s="26">
        <f t="shared" si="5"/>
        <v>0.8636363636</v>
      </c>
      <c r="S570" s="26">
        <f t="shared" si="6"/>
        <v>0.04545454545</v>
      </c>
      <c r="T570" s="26">
        <f t="shared" si="7"/>
        <v>0.7027027027</v>
      </c>
      <c r="U570" s="26">
        <f>IF(B570="","",MIN(Q570/Targets!$B$2,1)*Targets!$D$2+MIN(G570/100/Targets!$B$3,1)*Targets!$D$3+MIN(T570/Targets!$B$4,1)*Targets!$D$4+MIN(R570/Targets!$B$5,1)*Targets!$D$5+MIN(N570/Targets!$B$6,1)*Targets!$D$6+MIN(Targets!$B$7/MAX(S570,0.0001),1)*Targets!$D$7)</f>
        <v>0.6544331344</v>
      </c>
    </row>
    <row r="571">
      <c r="A571" s="25">
        <v>46254.0</v>
      </c>
      <c r="B571" s="14" t="s">
        <v>84</v>
      </c>
      <c r="C571" s="14" t="s">
        <v>179</v>
      </c>
      <c r="D571" s="19" t="s">
        <v>121</v>
      </c>
      <c r="E571" s="14">
        <f t="shared" si="1"/>
        <v>8</v>
      </c>
      <c r="F571" s="19">
        <f t="shared" si="2"/>
        <v>12</v>
      </c>
      <c r="G571" s="20">
        <f t="shared" si="3"/>
        <v>1.5</v>
      </c>
      <c r="H571" s="14">
        <v>24.0</v>
      </c>
      <c r="I571" s="14">
        <v>27.0</v>
      </c>
      <c r="J571" s="14">
        <v>2.0</v>
      </c>
      <c r="K571" s="14">
        <v>2.6</v>
      </c>
      <c r="L571" s="14">
        <v>37.0</v>
      </c>
      <c r="M571" s="14">
        <v>43.0</v>
      </c>
      <c r="N571" s="14">
        <v>6.8</v>
      </c>
      <c r="O571" s="14" t="s">
        <v>143</v>
      </c>
      <c r="P571" s="14" t="s">
        <v>168</v>
      </c>
      <c r="Q571" s="26">
        <f t="shared" si="4"/>
        <v>1.5</v>
      </c>
      <c r="R571" s="26">
        <f t="shared" si="5"/>
        <v>0.8888888889</v>
      </c>
      <c r="S571" s="26">
        <f t="shared" si="6"/>
        <v>0.07407407407</v>
      </c>
      <c r="T571" s="26">
        <f t="shared" si="7"/>
        <v>0.8604651163</v>
      </c>
      <c r="U571" s="26">
        <f>IF(B571="","",MIN(Q571/Targets!$B$2,1)*Targets!$D$2+MIN(G571/100/Targets!$B$3,1)*Targets!$D$3+MIN(T571/Targets!$B$4,1)*Targets!$D$4+MIN(R571/Targets!$B$5,1)*Targets!$D$5+MIN(N571/Targets!$B$6,1)*Targets!$D$6+MIN(Targets!$B$7/MAX(S571,0.0001),1)*Targets!$D$7)</f>
        <v>0.653404587</v>
      </c>
    </row>
    <row r="572">
      <c r="A572" s="25">
        <v>46254.0</v>
      </c>
      <c r="B572" s="14" t="s">
        <v>91</v>
      </c>
      <c r="C572" s="14" t="s">
        <v>188</v>
      </c>
      <c r="D572" s="19" t="s">
        <v>121</v>
      </c>
      <c r="E572" s="14">
        <f t="shared" si="1"/>
        <v>11</v>
      </c>
      <c r="F572" s="19">
        <f t="shared" si="2"/>
        <v>7</v>
      </c>
      <c r="G572" s="20">
        <f t="shared" si="3"/>
        <v>0.6363636364</v>
      </c>
      <c r="H572" s="14">
        <v>47.0</v>
      </c>
      <c r="I572" s="14">
        <v>49.0</v>
      </c>
      <c r="J572" s="14">
        <v>1.0</v>
      </c>
      <c r="K572" s="14">
        <v>1.6</v>
      </c>
      <c r="L572" s="14">
        <v>55.0</v>
      </c>
      <c r="M572" s="14">
        <v>62.0</v>
      </c>
      <c r="N572" s="14">
        <v>7.5</v>
      </c>
      <c r="O572" s="14" t="s">
        <v>143</v>
      </c>
      <c r="P572" s="14" t="s">
        <v>168</v>
      </c>
      <c r="Q572" s="26">
        <f t="shared" si="4"/>
        <v>0.6363636364</v>
      </c>
      <c r="R572" s="26">
        <f t="shared" si="5"/>
        <v>0.9591836735</v>
      </c>
      <c r="S572" s="26">
        <f t="shared" si="6"/>
        <v>0.02040816327</v>
      </c>
      <c r="T572" s="26">
        <f t="shared" si="7"/>
        <v>0.8870967742</v>
      </c>
      <c r="U572" s="26">
        <f>IF(B572="","",MIN(Q572/Targets!$B$2,1)*Targets!$D$2+MIN(G572/100/Targets!$B$3,1)*Targets!$D$3+MIN(T572/Targets!$B$4,1)*Targets!$D$4+MIN(R572/Targets!$B$5,1)*Targets!$D$5+MIN(N572/Targets!$B$6,1)*Targets!$D$6+MIN(Targets!$B$7/MAX(S572,0.0001),1)*Targets!$D$7)</f>
        <v>0.6413848159</v>
      </c>
    </row>
    <row r="573">
      <c r="A573" s="25">
        <v>46254.0</v>
      </c>
      <c r="B573" s="14" t="s">
        <v>100</v>
      </c>
      <c r="C573" s="14" t="s">
        <v>190</v>
      </c>
      <c r="D573" s="19" t="s">
        <v>121</v>
      </c>
      <c r="E573" s="14">
        <f t="shared" si="1"/>
        <v>13</v>
      </c>
      <c r="F573" s="19">
        <f t="shared" si="2"/>
        <v>12</v>
      </c>
      <c r="G573" s="20">
        <f t="shared" si="3"/>
        <v>0.9230769231</v>
      </c>
      <c r="H573" s="14">
        <v>34.0</v>
      </c>
      <c r="I573" s="14">
        <v>36.0</v>
      </c>
      <c r="J573" s="14">
        <v>2.0</v>
      </c>
      <c r="K573" s="14">
        <v>1.7</v>
      </c>
      <c r="L573" s="14">
        <v>47.0</v>
      </c>
      <c r="M573" s="14">
        <v>49.0</v>
      </c>
      <c r="N573" s="14">
        <v>7.2</v>
      </c>
      <c r="O573" s="14" t="s">
        <v>143</v>
      </c>
      <c r="P573" s="14" t="s">
        <v>191</v>
      </c>
      <c r="Q573" s="26">
        <f t="shared" si="4"/>
        <v>0.9230769231</v>
      </c>
      <c r="R573" s="26">
        <f t="shared" si="5"/>
        <v>0.9444444444</v>
      </c>
      <c r="S573" s="26">
        <f t="shared" si="6"/>
        <v>0.05555555556</v>
      </c>
      <c r="T573" s="26">
        <f t="shared" si="7"/>
        <v>0.9591836735</v>
      </c>
      <c r="U573" s="26">
        <f>IF(B573="","",MIN(Q573/Targets!$B$2,1)*Targets!$D$2+MIN(G573/100/Targets!$B$3,1)*Targets!$D$3+MIN(T573/Targets!$B$4,1)*Targets!$D$4+MIN(R573/Targets!$B$5,1)*Targets!$D$5+MIN(N573/Targets!$B$6,1)*Targets!$D$6+MIN(Targets!$B$7/MAX(S573,0.0001),1)*Targets!$D$7)</f>
        <v>0.6921997301</v>
      </c>
    </row>
    <row r="574">
      <c r="A574" s="25">
        <v>46254.0</v>
      </c>
      <c r="B574" s="14" t="s">
        <v>109</v>
      </c>
      <c r="C574" s="14" t="s">
        <v>14</v>
      </c>
      <c r="D574" s="19" t="s">
        <v>121</v>
      </c>
      <c r="E574" s="14">
        <f t="shared" si="1"/>
        <v>15</v>
      </c>
      <c r="F574" s="19">
        <f t="shared" si="2"/>
        <v>7</v>
      </c>
      <c r="G574" s="20">
        <f t="shared" si="3"/>
        <v>0.4666666667</v>
      </c>
      <c r="H574" s="14">
        <v>31.0</v>
      </c>
      <c r="I574" s="14">
        <v>36.0</v>
      </c>
      <c r="J574" s="14">
        <v>2.0</v>
      </c>
      <c r="K574" s="14">
        <v>4.4</v>
      </c>
      <c r="L574" s="14">
        <v>49.0</v>
      </c>
      <c r="M574" s="14">
        <v>52.0</v>
      </c>
      <c r="N574" s="14">
        <v>7.1</v>
      </c>
      <c r="O574" s="14" t="s">
        <v>143</v>
      </c>
      <c r="P574" s="14" t="s">
        <v>144</v>
      </c>
      <c r="Q574" s="26">
        <f t="shared" si="4"/>
        <v>0.4666666667</v>
      </c>
      <c r="R574" s="26">
        <f t="shared" si="5"/>
        <v>0.8611111111</v>
      </c>
      <c r="S574" s="26">
        <f t="shared" si="6"/>
        <v>0.05555555556</v>
      </c>
      <c r="T574" s="26">
        <f t="shared" si="7"/>
        <v>0.9423076923</v>
      </c>
      <c r="U574" s="26">
        <f>IF(B574="","",MIN(Q574/Targets!$B$2,1)*Targets!$D$2+MIN(G574/100/Targets!$B$3,1)*Targets!$D$3+MIN(T574/Targets!$B$4,1)*Targets!$D$4+MIN(R574/Targets!$B$5,1)*Targets!$D$5+MIN(N574/Targets!$B$6,1)*Targets!$D$6+MIN(Targets!$B$7/MAX(S574,0.0001),1)*Targets!$D$7)</f>
        <v>0.5812241715</v>
      </c>
    </row>
    <row r="575">
      <c r="A575" s="25">
        <v>46254.0</v>
      </c>
      <c r="B575" s="14" t="s">
        <v>115</v>
      </c>
      <c r="C575" s="14" t="s">
        <v>167</v>
      </c>
      <c r="D575" s="19" t="s">
        <v>121</v>
      </c>
      <c r="E575" s="14">
        <f t="shared" si="1"/>
        <v>7</v>
      </c>
      <c r="F575" s="19">
        <f t="shared" si="2"/>
        <v>9</v>
      </c>
      <c r="G575" s="20">
        <f t="shared" si="3"/>
        <v>1.285714286</v>
      </c>
      <c r="H575" s="14">
        <v>42.0</v>
      </c>
      <c r="I575" s="14">
        <v>47.0</v>
      </c>
      <c r="J575" s="14">
        <v>1.0</v>
      </c>
      <c r="K575" s="14">
        <v>4.5</v>
      </c>
      <c r="L575" s="14">
        <v>50.0</v>
      </c>
      <c r="M575" s="14">
        <v>54.0</v>
      </c>
      <c r="N575" s="14">
        <v>6.6</v>
      </c>
      <c r="O575" s="14" t="s">
        <v>143</v>
      </c>
      <c r="P575" s="14" t="s">
        <v>189</v>
      </c>
      <c r="Q575" s="26">
        <f t="shared" si="4"/>
        <v>1.285714286</v>
      </c>
      <c r="R575" s="26">
        <f t="shared" si="5"/>
        <v>0.8936170213</v>
      </c>
      <c r="S575" s="26">
        <f t="shared" si="6"/>
        <v>0.02127659574</v>
      </c>
      <c r="T575" s="26">
        <f t="shared" si="7"/>
        <v>0.9259259259</v>
      </c>
      <c r="U575" s="26">
        <f>IF(B575="","",MIN(Q575/Targets!$B$2,1)*Targets!$D$2+MIN(G575/100/Targets!$B$3,1)*Targets!$D$3+MIN(T575/Targets!$B$4,1)*Targets!$D$4+MIN(R575/Targets!$B$5,1)*Targets!$D$5+MIN(N575/Targets!$B$6,1)*Targets!$D$6+MIN(Targets!$B$7/MAX(S575,0.0001),1)*Targets!$D$7)</f>
        <v>0.689668853</v>
      </c>
    </row>
    <row r="576">
      <c r="A576" s="25">
        <v>46254.0</v>
      </c>
      <c r="B576" s="14" t="s">
        <v>118</v>
      </c>
      <c r="C576" s="14" t="s">
        <v>169</v>
      </c>
      <c r="D576" s="19" t="s">
        <v>121</v>
      </c>
      <c r="E576" s="14">
        <f t="shared" si="1"/>
        <v>13</v>
      </c>
      <c r="F576" s="19">
        <f t="shared" si="2"/>
        <v>6</v>
      </c>
      <c r="G576" s="20">
        <f t="shared" si="3"/>
        <v>0.4615384615</v>
      </c>
      <c r="H576" s="14">
        <v>34.0</v>
      </c>
      <c r="I576" s="14">
        <v>38.0</v>
      </c>
      <c r="J576" s="14">
        <v>2.0</v>
      </c>
      <c r="K576" s="14">
        <v>3.0</v>
      </c>
      <c r="L576" s="14">
        <v>45.0</v>
      </c>
      <c r="M576" s="14">
        <v>49.0</v>
      </c>
      <c r="N576" s="14">
        <v>7.7</v>
      </c>
      <c r="O576" s="14" t="s">
        <v>143</v>
      </c>
      <c r="P576" s="14" t="s">
        <v>168</v>
      </c>
      <c r="Q576" s="26">
        <f t="shared" si="4"/>
        <v>0.4615384615</v>
      </c>
      <c r="R576" s="26">
        <f t="shared" si="5"/>
        <v>0.8947368421</v>
      </c>
      <c r="S576" s="26">
        <f t="shared" si="6"/>
        <v>0.05263157895</v>
      </c>
      <c r="T576" s="26">
        <f t="shared" si="7"/>
        <v>0.9183673469</v>
      </c>
      <c r="U576" s="26">
        <f>IF(B576="","",MIN(Q576/Targets!$B$2,1)*Targets!$D$2+MIN(G576/100/Targets!$B$3,1)*Targets!$D$3+MIN(T576/Targets!$B$4,1)*Targets!$D$4+MIN(R576/Targets!$B$5,1)*Targets!$D$5+MIN(N576/Targets!$B$6,1)*Targets!$D$6+MIN(Targets!$B$7/MAX(S576,0.0001),1)*Targets!$D$7)</f>
        <v>0.5903768023</v>
      </c>
    </row>
    <row r="577">
      <c r="A577" s="25">
        <v>46254.0</v>
      </c>
      <c r="B577" s="14" t="s">
        <v>123</v>
      </c>
      <c r="C577" s="14" t="s">
        <v>171</v>
      </c>
      <c r="D577" s="19" t="s">
        <v>121</v>
      </c>
      <c r="E577" s="14">
        <f t="shared" si="1"/>
        <v>11</v>
      </c>
      <c r="F577" s="19">
        <f t="shared" si="2"/>
        <v>8</v>
      </c>
      <c r="G577" s="20">
        <f t="shared" si="3"/>
        <v>0.7272727273</v>
      </c>
      <c r="H577" s="14">
        <v>28.0</v>
      </c>
      <c r="I577" s="14">
        <v>30.0</v>
      </c>
      <c r="J577" s="14">
        <v>1.0</v>
      </c>
      <c r="K577" s="14">
        <v>3.6</v>
      </c>
      <c r="L577" s="14">
        <v>40.0</v>
      </c>
      <c r="M577" s="14">
        <v>43.0</v>
      </c>
      <c r="N577" s="14">
        <v>7.8</v>
      </c>
      <c r="O577" s="14" t="s">
        <v>143</v>
      </c>
      <c r="P577" s="14" t="s">
        <v>186</v>
      </c>
      <c r="Q577" s="26">
        <f t="shared" si="4"/>
        <v>0.7272727273</v>
      </c>
      <c r="R577" s="26">
        <f t="shared" si="5"/>
        <v>0.9333333333</v>
      </c>
      <c r="S577" s="26">
        <f t="shared" si="6"/>
        <v>0.03333333333</v>
      </c>
      <c r="T577" s="26">
        <f t="shared" si="7"/>
        <v>0.9302325581</v>
      </c>
      <c r="U577" s="26">
        <f>IF(B577="","",MIN(Q577/Targets!$B$2,1)*Targets!$D$2+MIN(G577/100/Targets!$B$3,1)*Targets!$D$3+MIN(T577/Targets!$B$4,1)*Targets!$D$4+MIN(R577/Targets!$B$5,1)*Targets!$D$5+MIN(N577/Targets!$B$6,1)*Targets!$D$6+MIN(Targets!$B$7/MAX(S577,0.0001),1)*Targets!$D$7)</f>
        <v>0.6614088251</v>
      </c>
    </row>
    <row r="578">
      <c r="A578" s="25">
        <v>46254.0</v>
      </c>
      <c r="B578" s="14" t="s">
        <v>126</v>
      </c>
      <c r="C578" s="14" t="s">
        <v>179</v>
      </c>
      <c r="D578" s="19" t="s">
        <v>121</v>
      </c>
      <c r="E578" s="14">
        <f t="shared" si="1"/>
        <v>6</v>
      </c>
      <c r="F578" s="19">
        <f t="shared" si="2"/>
        <v>9</v>
      </c>
      <c r="G578" s="20">
        <f t="shared" si="3"/>
        <v>1.5</v>
      </c>
      <c r="H578" s="14">
        <v>39.0</v>
      </c>
      <c r="I578" s="14">
        <v>45.0</v>
      </c>
      <c r="J578" s="14">
        <v>3.0</v>
      </c>
      <c r="K578" s="14">
        <v>3.9</v>
      </c>
      <c r="L578" s="14">
        <v>52.0</v>
      </c>
      <c r="M578" s="14">
        <v>58.0</v>
      </c>
      <c r="N578" s="14">
        <v>7.5</v>
      </c>
      <c r="O578" s="14" t="s">
        <v>143</v>
      </c>
      <c r="P578" s="14" t="s">
        <v>186</v>
      </c>
      <c r="Q578" s="26">
        <f t="shared" si="4"/>
        <v>1.5</v>
      </c>
      <c r="R578" s="26">
        <f t="shared" si="5"/>
        <v>0.8666666667</v>
      </c>
      <c r="S578" s="26">
        <f t="shared" si="6"/>
        <v>0.06666666667</v>
      </c>
      <c r="T578" s="26">
        <f t="shared" si="7"/>
        <v>0.8965517241</v>
      </c>
      <c r="U578" s="26">
        <f>IF(B578="","",MIN(Q578/Targets!$B$2,1)*Targets!$D$2+MIN(G578/100/Targets!$B$3,1)*Targets!$D$3+MIN(T578/Targets!$B$4,1)*Targets!$D$4+MIN(R578/Targets!$B$5,1)*Targets!$D$5+MIN(N578/Targets!$B$6,1)*Targets!$D$6+MIN(Targets!$B$7/MAX(S578,0.0001),1)*Targets!$D$7)</f>
        <v>0.6662673926</v>
      </c>
    </row>
    <row r="579">
      <c r="A579" s="25">
        <v>46254.0</v>
      </c>
      <c r="B579" s="14" t="s">
        <v>129</v>
      </c>
      <c r="C579" s="14" t="s">
        <v>188</v>
      </c>
      <c r="D579" s="19" t="s">
        <v>121</v>
      </c>
      <c r="E579" s="14">
        <f t="shared" si="1"/>
        <v>10</v>
      </c>
      <c r="F579" s="19">
        <f t="shared" si="2"/>
        <v>14</v>
      </c>
      <c r="G579" s="20">
        <f t="shared" si="3"/>
        <v>1.4</v>
      </c>
      <c r="H579" s="14">
        <v>43.0</v>
      </c>
      <c r="I579" s="14">
        <v>45.0</v>
      </c>
      <c r="J579" s="14">
        <v>3.0</v>
      </c>
      <c r="K579" s="14">
        <v>3.5</v>
      </c>
      <c r="L579" s="14">
        <v>46.0</v>
      </c>
      <c r="M579" s="14">
        <v>54.0</v>
      </c>
      <c r="N579" s="14">
        <v>7.7</v>
      </c>
      <c r="O579" s="14" t="s">
        <v>143</v>
      </c>
      <c r="P579" s="14" t="s">
        <v>168</v>
      </c>
      <c r="Q579" s="26">
        <f t="shared" si="4"/>
        <v>1.4</v>
      </c>
      <c r="R579" s="26">
        <f t="shared" si="5"/>
        <v>0.9555555556</v>
      </c>
      <c r="S579" s="26">
        <f t="shared" si="6"/>
        <v>0.06666666667</v>
      </c>
      <c r="T579" s="26">
        <f t="shared" si="7"/>
        <v>0.8518518519</v>
      </c>
      <c r="U579" s="26">
        <f>IF(B579="","",MIN(Q579/Targets!$B$2,1)*Targets!$D$2+MIN(G579/100/Targets!$B$3,1)*Targets!$D$3+MIN(T579/Targets!$B$4,1)*Targets!$D$4+MIN(R579/Targets!$B$5,1)*Targets!$D$5+MIN(N579/Targets!$B$6,1)*Targets!$D$6+MIN(Targets!$B$7/MAX(S579,0.0001),1)*Targets!$D$7)</f>
        <v>0.6716419753</v>
      </c>
    </row>
    <row r="580">
      <c r="A580" s="25">
        <v>46254.0</v>
      </c>
      <c r="B580" s="14" t="s">
        <v>132</v>
      </c>
      <c r="C580" s="14" t="s">
        <v>190</v>
      </c>
      <c r="D580" s="19" t="s">
        <v>121</v>
      </c>
      <c r="E580" s="14">
        <f t="shared" si="1"/>
        <v>12</v>
      </c>
      <c r="F580" s="19">
        <f t="shared" si="2"/>
        <v>14</v>
      </c>
      <c r="G580" s="20">
        <f t="shared" si="3"/>
        <v>1.166666667</v>
      </c>
      <c r="H580" s="14">
        <v>51.0</v>
      </c>
      <c r="I580" s="14">
        <v>53.0</v>
      </c>
      <c r="J580" s="14">
        <v>4.0</v>
      </c>
      <c r="K580" s="14">
        <v>1.7</v>
      </c>
      <c r="L580" s="14">
        <v>61.0</v>
      </c>
      <c r="M580" s="14">
        <v>71.0</v>
      </c>
      <c r="N580" s="14">
        <v>8.4</v>
      </c>
      <c r="O580" s="14" t="s">
        <v>143</v>
      </c>
      <c r="P580" s="14" t="s">
        <v>187</v>
      </c>
      <c r="Q580" s="26">
        <f t="shared" si="4"/>
        <v>1.166666667</v>
      </c>
      <c r="R580" s="26">
        <f t="shared" si="5"/>
        <v>0.9622641509</v>
      </c>
      <c r="S580" s="26">
        <f t="shared" si="6"/>
        <v>0.07547169811</v>
      </c>
      <c r="T580" s="26">
        <f t="shared" si="7"/>
        <v>0.8591549296</v>
      </c>
      <c r="U580" s="26">
        <f>IF(B580="","",MIN(Q580/Targets!$B$2,1)*Targets!$D$2+MIN(G580/100/Targets!$B$3,1)*Targets!$D$3+MIN(T580/Targets!$B$4,1)*Targets!$D$4+MIN(R580/Targets!$B$5,1)*Targets!$D$5+MIN(N580/Targets!$B$6,1)*Targets!$D$6+MIN(Targets!$B$7/MAX(S580,0.0001),1)*Targets!$D$7)</f>
        <v>0.6633313772</v>
      </c>
    </row>
    <row r="581">
      <c r="A581" s="25">
        <v>46254.0</v>
      </c>
      <c r="B581" s="14" t="s">
        <v>135</v>
      </c>
      <c r="C581" s="14" t="s">
        <v>169</v>
      </c>
      <c r="D581" s="19" t="s">
        <v>121</v>
      </c>
      <c r="E581" s="14">
        <f t="shared" si="1"/>
        <v>6</v>
      </c>
      <c r="F581" s="19">
        <f t="shared" si="2"/>
        <v>12</v>
      </c>
      <c r="G581" s="20">
        <f t="shared" si="3"/>
        <v>2</v>
      </c>
      <c r="H581" s="14">
        <v>45.0</v>
      </c>
      <c r="I581" s="14">
        <v>50.0</v>
      </c>
      <c r="J581" s="14">
        <v>1.0</v>
      </c>
      <c r="K581" s="14">
        <v>4.3</v>
      </c>
      <c r="L581" s="14">
        <v>55.0</v>
      </c>
      <c r="M581" s="14">
        <v>60.0</v>
      </c>
      <c r="N581" s="14">
        <v>7.3</v>
      </c>
      <c r="O581" s="14" t="s">
        <v>143</v>
      </c>
      <c r="P581" s="14" t="s">
        <v>186</v>
      </c>
      <c r="Q581" s="26">
        <f t="shared" si="4"/>
        <v>2</v>
      </c>
      <c r="R581" s="26">
        <f t="shared" si="5"/>
        <v>0.9</v>
      </c>
      <c r="S581" s="26">
        <f t="shared" si="6"/>
        <v>0.02</v>
      </c>
      <c r="T581" s="26">
        <f t="shared" si="7"/>
        <v>0.9166666667</v>
      </c>
      <c r="U581" s="26">
        <f>IF(B581="","",MIN(Q581/Targets!$B$2,1)*Targets!$D$2+MIN(G581/100/Targets!$B$3,1)*Targets!$D$3+MIN(T581/Targets!$B$4,1)*Targets!$D$4+MIN(R581/Targets!$B$5,1)*Targets!$D$5+MIN(N581/Targets!$B$6,1)*Targets!$D$6+MIN(Targets!$B$7/MAX(S581,0.0001),1)*Targets!$D$7)</f>
        <v>0.6987719298</v>
      </c>
    </row>
    <row r="582">
      <c r="A582" s="25">
        <v>46255.0</v>
      </c>
      <c r="B582" s="14" t="s">
        <v>10</v>
      </c>
      <c r="C582" s="14" t="s">
        <v>14</v>
      </c>
      <c r="D582" s="19" t="s">
        <v>121</v>
      </c>
      <c r="E582" s="14">
        <f t="shared" si="1"/>
        <v>9</v>
      </c>
      <c r="F582" s="19">
        <f t="shared" si="2"/>
        <v>9</v>
      </c>
      <c r="G582" s="20">
        <f t="shared" si="3"/>
        <v>1</v>
      </c>
      <c r="H582" s="14">
        <v>48.0</v>
      </c>
      <c r="I582" s="14">
        <v>52.0</v>
      </c>
      <c r="J582" s="14">
        <v>2.0</v>
      </c>
      <c r="K582" s="14">
        <v>2.6</v>
      </c>
      <c r="L582" s="14">
        <v>59.0</v>
      </c>
      <c r="M582" s="14">
        <v>64.0</v>
      </c>
      <c r="N582" s="14">
        <v>8.4</v>
      </c>
      <c r="O582" s="14" t="s">
        <v>143</v>
      </c>
      <c r="P582" s="14" t="s">
        <v>178</v>
      </c>
      <c r="Q582" s="26">
        <f t="shared" si="4"/>
        <v>1</v>
      </c>
      <c r="R582" s="26">
        <f t="shared" si="5"/>
        <v>0.9230769231</v>
      </c>
      <c r="S582" s="26">
        <f t="shared" si="6"/>
        <v>0.03846153846</v>
      </c>
      <c r="T582" s="26">
        <f t="shared" si="7"/>
        <v>0.921875</v>
      </c>
      <c r="U582" s="26">
        <f>IF(B582="","",MIN(Q582/Targets!$B$2,1)*Targets!$D$2+MIN(G582/100/Targets!$B$3,1)*Targets!$D$3+MIN(T582/Targets!$B$4,1)*Targets!$D$4+MIN(R582/Targets!$B$5,1)*Targets!$D$5+MIN(N582/Targets!$B$6,1)*Targets!$D$6+MIN(Targets!$B$7/MAX(S582,0.0001),1)*Targets!$D$7)</f>
        <v>0.6990823212</v>
      </c>
    </row>
    <row r="583">
      <c r="A583" s="25">
        <v>46255.0</v>
      </c>
      <c r="B583" s="14" t="s">
        <v>25</v>
      </c>
      <c r="C583" s="14" t="s">
        <v>167</v>
      </c>
      <c r="D583" s="19" t="s">
        <v>121</v>
      </c>
      <c r="E583" s="14">
        <f t="shared" si="1"/>
        <v>8</v>
      </c>
      <c r="F583" s="19">
        <f t="shared" si="2"/>
        <v>14</v>
      </c>
      <c r="G583" s="20">
        <f t="shared" si="3"/>
        <v>1.75</v>
      </c>
      <c r="H583" s="14">
        <v>30.0</v>
      </c>
      <c r="I583" s="14">
        <v>32.0</v>
      </c>
      <c r="J583" s="14">
        <v>1.0</v>
      </c>
      <c r="K583" s="14">
        <v>3.1</v>
      </c>
      <c r="L583" s="14">
        <v>46.0</v>
      </c>
      <c r="M583" s="14">
        <v>51.0</v>
      </c>
      <c r="N583" s="14">
        <v>7.8</v>
      </c>
      <c r="O583" s="14" t="s">
        <v>143</v>
      </c>
      <c r="P583" s="14" t="s">
        <v>144</v>
      </c>
      <c r="Q583" s="26">
        <f t="shared" si="4"/>
        <v>1.75</v>
      </c>
      <c r="R583" s="26">
        <f t="shared" si="5"/>
        <v>0.9375</v>
      </c>
      <c r="S583" s="26">
        <f t="shared" si="6"/>
        <v>0.03125</v>
      </c>
      <c r="T583" s="26">
        <f t="shared" si="7"/>
        <v>0.9019607843</v>
      </c>
      <c r="U583" s="26">
        <f>IF(B583="","",MIN(Q583/Targets!$B$2,1)*Targets!$D$2+MIN(G583/100/Targets!$B$3,1)*Targets!$D$3+MIN(T583/Targets!$B$4,1)*Targets!$D$4+MIN(R583/Targets!$B$5,1)*Targets!$D$5+MIN(N583/Targets!$B$6,1)*Targets!$D$6+MIN(Targets!$B$7/MAX(S583,0.0001),1)*Targets!$D$7)</f>
        <v>0.7038596491</v>
      </c>
    </row>
    <row r="584">
      <c r="A584" s="25">
        <v>46255.0</v>
      </c>
      <c r="B584" s="14" t="s">
        <v>37</v>
      </c>
      <c r="C584" s="14" t="s">
        <v>169</v>
      </c>
      <c r="D584" s="19" t="s">
        <v>121</v>
      </c>
      <c r="E584" s="14">
        <f t="shared" si="1"/>
        <v>14</v>
      </c>
      <c r="F584" s="19">
        <f t="shared" si="2"/>
        <v>8</v>
      </c>
      <c r="G584" s="20">
        <f t="shared" si="3"/>
        <v>0.5714285714</v>
      </c>
      <c r="H584" s="14">
        <v>44.0</v>
      </c>
      <c r="I584" s="14">
        <v>46.0</v>
      </c>
      <c r="J584" s="14">
        <v>3.0</v>
      </c>
      <c r="K584" s="14">
        <v>1.5</v>
      </c>
      <c r="L584" s="14">
        <v>53.0</v>
      </c>
      <c r="M584" s="14">
        <v>63.0</v>
      </c>
      <c r="N584" s="14">
        <v>7.3</v>
      </c>
      <c r="O584" s="14" t="s">
        <v>143</v>
      </c>
      <c r="P584" s="14" t="s">
        <v>191</v>
      </c>
      <c r="Q584" s="26">
        <f t="shared" si="4"/>
        <v>0.5714285714</v>
      </c>
      <c r="R584" s="26">
        <f t="shared" si="5"/>
        <v>0.9565217391</v>
      </c>
      <c r="S584" s="26">
        <f t="shared" si="6"/>
        <v>0.0652173913</v>
      </c>
      <c r="T584" s="26">
        <f t="shared" si="7"/>
        <v>0.8412698413</v>
      </c>
      <c r="U584" s="26">
        <f>IF(B584="","",MIN(Q584/Targets!$B$2,1)*Targets!$D$2+MIN(G584/100/Targets!$B$3,1)*Targets!$D$3+MIN(T584/Targets!$B$4,1)*Targets!$D$4+MIN(R584/Targets!$B$5,1)*Targets!$D$5+MIN(N584/Targets!$B$6,1)*Targets!$D$6+MIN(Targets!$B$7/MAX(S584,0.0001),1)*Targets!$D$7)</f>
        <v>0.5957671958</v>
      </c>
    </row>
    <row r="585">
      <c r="A585" s="25">
        <v>46255.0</v>
      </c>
      <c r="B585" s="14" t="s">
        <v>42</v>
      </c>
      <c r="C585" s="14" t="s">
        <v>171</v>
      </c>
      <c r="D585" s="19" t="s">
        <v>121</v>
      </c>
      <c r="E585" s="14">
        <f t="shared" si="1"/>
        <v>13</v>
      </c>
      <c r="F585" s="19">
        <f t="shared" si="2"/>
        <v>7</v>
      </c>
      <c r="G585" s="20">
        <f t="shared" si="3"/>
        <v>0.5384615385</v>
      </c>
      <c r="H585" s="14">
        <v>42.0</v>
      </c>
      <c r="I585" s="14">
        <v>47.0</v>
      </c>
      <c r="J585" s="14">
        <v>2.0</v>
      </c>
      <c r="K585" s="14">
        <v>2.5</v>
      </c>
      <c r="L585" s="14">
        <v>56.0</v>
      </c>
      <c r="M585" s="14">
        <v>61.0</v>
      </c>
      <c r="N585" s="14">
        <v>7.9</v>
      </c>
      <c r="O585" s="14" t="s">
        <v>143</v>
      </c>
      <c r="P585" s="14" t="s">
        <v>168</v>
      </c>
      <c r="Q585" s="26">
        <f t="shared" si="4"/>
        <v>0.5384615385</v>
      </c>
      <c r="R585" s="26">
        <f t="shared" si="5"/>
        <v>0.8936170213</v>
      </c>
      <c r="S585" s="26">
        <f t="shared" si="6"/>
        <v>0.04255319149</v>
      </c>
      <c r="T585" s="26">
        <f t="shared" si="7"/>
        <v>0.9180327869</v>
      </c>
      <c r="U585" s="26">
        <f>IF(B585="","",MIN(Q585/Targets!$B$2,1)*Targets!$D$2+MIN(G585/100/Targets!$B$3,1)*Targets!$D$3+MIN(T585/Targets!$B$4,1)*Targets!$D$4+MIN(R585/Targets!$B$5,1)*Targets!$D$5+MIN(N585/Targets!$B$6,1)*Targets!$D$6+MIN(Targets!$B$7/MAX(S585,0.0001),1)*Targets!$D$7)</f>
        <v>0.6125504159</v>
      </c>
    </row>
    <row r="586">
      <c r="A586" s="25">
        <v>46255.0</v>
      </c>
      <c r="B586" s="14" t="s">
        <v>46</v>
      </c>
      <c r="C586" s="14" t="s">
        <v>179</v>
      </c>
      <c r="D586" s="19" t="s">
        <v>121</v>
      </c>
      <c r="E586" s="14">
        <f t="shared" si="1"/>
        <v>7</v>
      </c>
      <c r="F586" s="19">
        <f t="shared" si="2"/>
        <v>12</v>
      </c>
      <c r="G586" s="20">
        <f t="shared" si="3"/>
        <v>1.714285714</v>
      </c>
      <c r="H586" s="14">
        <v>21.0</v>
      </c>
      <c r="I586" s="14">
        <v>26.0</v>
      </c>
      <c r="J586" s="14">
        <v>1.0</v>
      </c>
      <c r="K586" s="14">
        <v>4.9</v>
      </c>
      <c r="L586" s="14">
        <v>34.0</v>
      </c>
      <c r="M586" s="14">
        <v>52.0</v>
      </c>
      <c r="N586" s="14">
        <v>6.0</v>
      </c>
      <c r="O586" s="14" t="s">
        <v>143</v>
      </c>
      <c r="P586" s="14" t="s">
        <v>178</v>
      </c>
      <c r="Q586" s="26">
        <f t="shared" si="4"/>
        <v>1.714285714</v>
      </c>
      <c r="R586" s="26">
        <f t="shared" si="5"/>
        <v>0.8076923077</v>
      </c>
      <c r="S586" s="26">
        <f t="shared" si="6"/>
        <v>0.03846153846</v>
      </c>
      <c r="T586" s="26">
        <f t="shared" si="7"/>
        <v>0.6538461538</v>
      </c>
      <c r="U586" s="26">
        <f>IF(B586="","",MIN(Q586/Targets!$B$2,1)*Targets!$D$2+MIN(G586/100/Targets!$B$3,1)*Targets!$D$3+MIN(T586/Targets!$B$4,1)*Targets!$D$4+MIN(R586/Targets!$B$5,1)*Targets!$D$5+MIN(N586/Targets!$B$6,1)*Targets!$D$6+MIN(Targets!$B$7/MAX(S586,0.0001),1)*Targets!$D$7)</f>
        <v>0.6279332948</v>
      </c>
    </row>
    <row r="587">
      <c r="A587" s="25">
        <v>46255.0</v>
      </c>
      <c r="B587" s="14" t="s">
        <v>53</v>
      </c>
      <c r="C587" s="14" t="s">
        <v>14</v>
      </c>
      <c r="D587" s="19" t="s">
        <v>121</v>
      </c>
      <c r="E587" s="14">
        <f t="shared" si="1"/>
        <v>6</v>
      </c>
      <c r="F587" s="19">
        <f t="shared" si="2"/>
        <v>14</v>
      </c>
      <c r="G587" s="20">
        <f t="shared" si="3"/>
        <v>2.333333333</v>
      </c>
      <c r="H587" s="14">
        <v>22.0</v>
      </c>
      <c r="I587" s="14">
        <v>27.0</v>
      </c>
      <c r="J587" s="14">
        <v>2.0</v>
      </c>
      <c r="K587" s="14">
        <v>5.7</v>
      </c>
      <c r="L587" s="14">
        <v>29.0</v>
      </c>
      <c r="M587" s="14">
        <v>46.0</v>
      </c>
      <c r="N587" s="14">
        <v>6.1</v>
      </c>
      <c r="O587" s="14" t="s">
        <v>143</v>
      </c>
      <c r="P587" s="14" t="s">
        <v>178</v>
      </c>
      <c r="Q587" s="26">
        <f t="shared" si="4"/>
        <v>2.333333333</v>
      </c>
      <c r="R587" s="26">
        <f t="shared" si="5"/>
        <v>0.8148148148</v>
      </c>
      <c r="S587" s="26">
        <f t="shared" si="6"/>
        <v>0.07407407407</v>
      </c>
      <c r="T587" s="26">
        <f t="shared" si="7"/>
        <v>0.6304347826</v>
      </c>
      <c r="U587" s="26">
        <f>IF(B587="","",MIN(Q587/Targets!$B$2,1)*Targets!$D$2+MIN(G587/100/Targets!$B$3,1)*Targets!$D$3+MIN(T587/Targets!$B$4,1)*Targets!$D$4+MIN(R587/Targets!$B$5,1)*Targets!$D$5+MIN(N587/Targets!$B$6,1)*Targets!$D$6+MIN(Targets!$B$7/MAX(S587,0.0001),1)*Targets!$D$7)</f>
        <v>0.5961480694</v>
      </c>
    </row>
    <row r="588">
      <c r="A588" s="25">
        <v>46255.0</v>
      </c>
      <c r="B588" s="14" t="s">
        <v>65</v>
      </c>
      <c r="C588" s="14" t="s">
        <v>167</v>
      </c>
      <c r="D588" s="19" t="s">
        <v>121</v>
      </c>
      <c r="E588" s="14">
        <f t="shared" si="1"/>
        <v>7</v>
      </c>
      <c r="F588" s="19">
        <f t="shared" si="2"/>
        <v>8</v>
      </c>
      <c r="G588" s="20">
        <f t="shared" si="3"/>
        <v>1.142857143</v>
      </c>
      <c r="H588" s="14">
        <v>45.0</v>
      </c>
      <c r="I588" s="14">
        <v>47.0</v>
      </c>
      <c r="J588" s="14">
        <v>2.0</v>
      </c>
      <c r="K588" s="14">
        <v>1.9</v>
      </c>
      <c r="L588" s="14">
        <v>45.0</v>
      </c>
      <c r="M588" s="14">
        <v>49.0</v>
      </c>
      <c r="N588" s="14">
        <v>8.2</v>
      </c>
      <c r="O588" s="14" t="s">
        <v>143</v>
      </c>
      <c r="P588" s="14" t="s">
        <v>186</v>
      </c>
      <c r="Q588" s="26">
        <f t="shared" si="4"/>
        <v>1.142857143</v>
      </c>
      <c r="R588" s="26">
        <f t="shared" si="5"/>
        <v>0.9574468085</v>
      </c>
      <c r="S588" s="26">
        <f t="shared" si="6"/>
        <v>0.04255319149</v>
      </c>
      <c r="T588" s="26">
        <f t="shared" si="7"/>
        <v>0.9183673469</v>
      </c>
      <c r="U588" s="26">
        <f>IF(B588="","",MIN(Q588/Targets!$B$2,1)*Targets!$D$2+MIN(G588/100/Targets!$B$3,1)*Targets!$D$3+MIN(T588/Targets!$B$4,1)*Targets!$D$4+MIN(R588/Targets!$B$5,1)*Targets!$D$5+MIN(N588/Targets!$B$6,1)*Targets!$D$6+MIN(Targets!$B$7/MAX(S588,0.0001),1)*Targets!$D$7)</f>
        <v>0.7038095238</v>
      </c>
    </row>
    <row r="589">
      <c r="A589" s="25">
        <v>46255.0</v>
      </c>
      <c r="B589" s="14" t="s">
        <v>73</v>
      </c>
      <c r="C589" s="14" t="s">
        <v>169</v>
      </c>
      <c r="D589" s="19" t="s">
        <v>121</v>
      </c>
      <c r="E589" s="14">
        <f t="shared" si="1"/>
        <v>16</v>
      </c>
      <c r="F589" s="19">
        <f t="shared" si="2"/>
        <v>10</v>
      </c>
      <c r="G589" s="20">
        <f t="shared" si="3"/>
        <v>0.625</v>
      </c>
      <c r="H589" s="14">
        <v>45.0</v>
      </c>
      <c r="I589" s="14">
        <v>48.0</v>
      </c>
      <c r="J589" s="14">
        <v>3.0</v>
      </c>
      <c r="K589" s="14">
        <v>1.9</v>
      </c>
      <c r="L589" s="14">
        <v>56.0</v>
      </c>
      <c r="M589" s="14">
        <v>59.0</v>
      </c>
      <c r="N589" s="14">
        <v>7.3</v>
      </c>
      <c r="O589" s="14" t="s">
        <v>143</v>
      </c>
      <c r="P589" s="14" t="s">
        <v>187</v>
      </c>
      <c r="Q589" s="26">
        <f t="shared" si="4"/>
        <v>0.625</v>
      </c>
      <c r="R589" s="26">
        <f t="shared" si="5"/>
        <v>0.9375</v>
      </c>
      <c r="S589" s="26">
        <f t="shared" si="6"/>
        <v>0.0625</v>
      </c>
      <c r="T589" s="26">
        <f t="shared" si="7"/>
        <v>0.9491525424</v>
      </c>
      <c r="U589" s="26">
        <f>IF(B589="","",MIN(Q589/Targets!$B$2,1)*Targets!$D$2+MIN(G589/100/Targets!$B$3,1)*Targets!$D$3+MIN(T589/Targets!$B$4,1)*Targets!$D$4+MIN(R589/Targets!$B$5,1)*Targets!$D$5+MIN(N589/Targets!$B$6,1)*Targets!$D$6+MIN(Targets!$B$7/MAX(S589,0.0001),1)*Targets!$D$7)</f>
        <v>0.618998538</v>
      </c>
    </row>
    <row r="590">
      <c r="A590" s="25">
        <v>46255.0</v>
      </c>
      <c r="B590" s="14" t="s">
        <v>78</v>
      </c>
      <c r="C590" s="14" t="s">
        <v>171</v>
      </c>
      <c r="D590" s="19" t="s">
        <v>121</v>
      </c>
      <c r="E590" s="14">
        <f t="shared" si="1"/>
        <v>16</v>
      </c>
      <c r="F590" s="19">
        <f t="shared" si="2"/>
        <v>11</v>
      </c>
      <c r="G590" s="20">
        <f t="shared" si="3"/>
        <v>0.6875</v>
      </c>
      <c r="H590" s="14">
        <v>29.0</v>
      </c>
      <c r="I590" s="14">
        <v>34.0</v>
      </c>
      <c r="J590" s="14">
        <v>0.0</v>
      </c>
      <c r="K590" s="14">
        <v>4.5</v>
      </c>
      <c r="L590" s="14">
        <v>38.0</v>
      </c>
      <c r="M590" s="14">
        <v>44.0</v>
      </c>
      <c r="N590" s="14">
        <v>6.4</v>
      </c>
      <c r="O590" s="14" t="s">
        <v>143</v>
      </c>
      <c r="P590" s="14" t="s">
        <v>144</v>
      </c>
      <c r="Q590" s="26">
        <f t="shared" si="4"/>
        <v>0.6875</v>
      </c>
      <c r="R590" s="26">
        <f t="shared" si="5"/>
        <v>0.8529411765</v>
      </c>
      <c r="S590" s="26">
        <f t="shared" si="6"/>
        <v>0</v>
      </c>
      <c r="T590" s="26">
        <f t="shared" si="7"/>
        <v>0.8636363636</v>
      </c>
      <c r="U590" s="26">
        <f>IF(B590="","",MIN(Q590/Targets!$B$2,1)*Targets!$D$2+MIN(G590/100/Targets!$B$3,1)*Targets!$D$3+MIN(T590/Targets!$B$4,1)*Targets!$D$4+MIN(R590/Targets!$B$5,1)*Targets!$D$5+MIN(N590/Targets!$B$6,1)*Targets!$D$6+MIN(Targets!$B$7/MAX(S590,0.0001),1)*Targets!$D$7)</f>
        <v>0.6251123324</v>
      </c>
    </row>
    <row r="591">
      <c r="A591" s="25">
        <v>46255.0</v>
      </c>
      <c r="B591" s="14" t="s">
        <v>84</v>
      </c>
      <c r="C591" s="14" t="s">
        <v>179</v>
      </c>
      <c r="D591" s="19" t="s">
        <v>121</v>
      </c>
      <c r="E591" s="14">
        <f t="shared" si="1"/>
        <v>12</v>
      </c>
      <c r="F591" s="19">
        <f t="shared" si="2"/>
        <v>15</v>
      </c>
      <c r="G591" s="20">
        <f t="shared" si="3"/>
        <v>1.25</v>
      </c>
      <c r="H591" s="14">
        <v>37.0</v>
      </c>
      <c r="I591" s="14">
        <v>42.0</v>
      </c>
      <c r="J591" s="14">
        <v>3.0</v>
      </c>
      <c r="K591" s="14">
        <v>2.7</v>
      </c>
      <c r="L591" s="14">
        <v>45.0</v>
      </c>
      <c r="M591" s="14">
        <v>54.0</v>
      </c>
      <c r="N591" s="14">
        <v>6.4</v>
      </c>
      <c r="O591" s="14" t="s">
        <v>143</v>
      </c>
      <c r="P591" s="14" t="s">
        <v>144</v>
      </c>
      <c r="Q591" s="26">
        <f t="shared" si="4"/>
        <v>1.25</v>
      </c>
      <c r="R591" s="26">
        <f t="shared" si="5"/>
        <v>0.880952381</v>
      </c>
      <c r="S591" s="26">
        <f t="shared" si="6"/>
        <v>0.07142857143</v>
      </c>
      <c r="T591" s="26">
        <f t="shared" si="7"/>
        <v>0.8333333333</v>
      </c>
      <c r="U591" s="26">
        <f>IF(B591="","",MIN(Q591/Targets!$B$2,1)*Targets!$D$2+MIN(G591/100/Targets!$B$3,1)*Targets!$D$3+MIN(T591/Targets!$B$4,1)*Targets!$D$4+MIN(R591/Targets!$B$5,1)*Targets!$D$5+MIN(N591/Targets!$B$6,1)*Targets!$D$6+MIN(Targets!$B$7/MAX(S591,0.0001),1)*Targets!$D$7)</f>
        <v>0.6435818713</v>
      </c>
    </row>
    <row r="592">
      <c r="A592" s="25">
        <v>46255.0</v>
      </c>
      <c r="B592" s="14" t="s">
        <v>91</v>
      </c>
      <c r="C592" s="14" t="s">
        <v>188</v>
      </c>
      <c r="D592" s="19" t="s">
        <v>121</v>
      </c>
      <c r="E592" s="14">
        <f t="shared" si="1"/>
        <v>7</v>
      </c>
      <c r="F592" s="19">
        <f t="shared" si="2"/>
        <v>10</v>
      </c>
      <c r="G592" s="20">
        <f t="shared" si="3"/>
        <v>1.428571429</v>
      </c>
      <c r="H592" s="14">
        <v>30.0</v>
      </c>
      <c r="I592" s="14">
        <v>35.0</v>
      </c>
      <c r="J592" s="14">
        <v>2.0</v>
      </c>
      <c r="K592" s="14">
        <v>4.4</v>
      </c>
      <c r="L592" s="14">
        <v>46.0</v>
      </c>
      <c r="M592" s="14">
        <v>52.0</v>
      </c>
      <c r="N592" s="14">
        <v>6.6</v>
      </c>
      <c r="O592" s="14" t="s">
        <v>143</v>
      </c>
      <c r="P592" s="14" t="s">
        <v>144</v>
      </c>
      <c r="Q592" s="26">
        <f t="shared" si="4"/>
        <v>1.428571429</v>
      </c>
      <c r="R592" s="26">
        <f t="shared" si="5"/>
        <v>0.8571428571</v>
      </c>
      <c r="S592" s="26">
        <f t="shared" si="6"/>
        <v>0.05714285714</v>
      </c>
      <c r="T592" s="26">
        <f t="shared" si="7"/>
        <v>0.8846153846</v>
      </c>
      <c r="U592" s="26">
        <f>IF(B592="","",MIN(Q592/Targets!$B$2,1)*Targets!$D$2+MIN(G592/100/Targets!$B$3,1)*Targets!$D$3+MIN(T592/Targets!$B$4,1)*Targets!$D$4+MIN(R592/Targets!$B$5,1)*Targets!$D$5+MIN(N592/Targets!$B$6,1)*Targets!$D$6+MIN(Targets!$B$7/MAX(S592,0.0001),1)*Targets!$D$7)</f>
        <v>0.6693218623</v>
      </c>
    </row>
    <row r="593">
      <c r="A593" s="25">
        <v>46255.0</v>
      </c>
      <c r="B593" s="14" t="s">
        <v>100</v>
      </c>
      <c r="C593" s="14" t="s">
        <v>190</v>
      </c>
      <c r="D593" s="19" t="s">
        <v>121</v>
      </c>
      <c r="E593" s="14">
        <f t="shared" si="1"/>
        <v>15</v>
      </c>
      <c r="F593" s="19">
        <f t="shared" si="2"/>
        <v>12</v>
      </c>
      <c r="G593" s="20">
        <f t="shared" si="3"/>
        <v>0.8</v>
      </c>
      <c r="H593" s="14">
        <v>42.0</v>
      </c>
      <c r="I593" s="14">
        <v>47.0</v>
      </c>
      <c r="J593" s="14">
        <v>1.0</v>
      </c>
      <c r="K593" s="14">
        <v>3.7</v>
      </c>
      <c r="L593" s="14">
        <v>53.0</v>
      </c>
      <c r="M593" s="14">
        <v>61.0</v>
      </c>
      <c r="N593" s="14">
        <v>6.8</v>
      </c>
      <c r="O593" s="14" t="s">
        <v>143</v>
      </c>
      <c r="P593" s="14" t="s">
        <v>186</v>
      </c>
      <c r="Q593" s="26">
        <f t="shared" si="4"/>
        <v>0.8</v>
      </c>
      <c r="R593" s="26">
        <f t="shared" si="5"/>
        <v>0.8936170213</v>
      </c>
      <c r="S593" s="26">
        <f t="shared" si="6"/>
        <v>0.02127659574</v>
      </c>
      <c r="T593" s="26">
        <f t="shared" si="7"/>
        <v>0.868852459</v>
      </c>
      <c r="U593" s="26">
        <f>IF(B593="","",MIN(Q593/Targets!$B$2,1)*Targets!$D$2+MIN(G593/100/Targets!$B$3,1)*Targets!$D$3+MIN(T593/Targets!$B$4,1)*Targets!$D$4+MIN(R593/Targets!$B$5,1)*Targets!$D$5+MIN(N593/Targets!$B$6,1)*Targets!$D$6+MIN(Targets!$B$7/MAX(S593,0.0001),1)*Targets!$D$7)</f>
        <v>0.6634934692</v>
      </c>
    </row>
    <row r="594">
      <c r="A594" s="25">
        <v>46255.0</v>
      </c>
      <c r="B594" s="14" t="s">
        <v>109</v>
      </c>
      <c r="C594" s="14" t="s">
        <v>14</v>
      </c>
      <c r="D594" s="19" t="s">
        <v>121</v>
      </c>
      <c r="E594" s="14">
        <f t="shared" si="1"/>
        <v>16</v>
      </c>
      <c r="F594" s="19">
        <f t="shared" si="2"/>
        <v>13</v>
      </c>
      <c r="G594" s="20">
        <f t="shared" si="3"/>
        <v>0.8125</v>
      </c>
      <c r="H594" s="14">
        <v>29.0</v>
      </c>
      <c r="I594" s="14">
        <v>33.0</v>
      </c>
      <c r="J594" s="14">
        <v>1.0</v>
      </c>
      <c r="K594" s="14">
        <v>4.0</v>
      </c>
      <c r="L594" s="14">
        <v>36.0</v>
      </c>
      <c r="M594" s="14">
        <v>44.0</v>
      </c>
      <c r="N594" s="14">
        <v>6.9</v>
      </c>
      <c r="O594" s="14" t="s">
        <v>143</v>
      </c>
      <c r="P594" s="14" t="s">
        <v>186</v>
      </c>
      <c r="Q594" s="26">
        <f t="shared" si="4"/>
        <v>0.8125</v>
      </c>
      <c r="R594" s="26">
        <f t="shared" si="5"/>
        <v>0.8787878788</v>
      </c>
      <c r="S594" s="26">
        <f t="shared" si="6"/>
        <v>0.0303030303</v>
      </c>
      <c r="T594" s="26">
        <f t="shared" si="7"/>
        <v>0.8181818182</v>
      </c>
      <c r="U594" s="26">
        <f>IF(B594="","",MIN(Q594/Targets!$B$2,1)*Targets!$D$2+MIN(G594/100/Targets!$B$3,1)*Targets!$D$3+MIN(T594/Targets!$B$4,1)*Targets!$D$4+MIN(R594/Targets!$B$5,1)*Targets!$D$5+MIN(N594/Targets!$B$6,1)*Targets!$D$6+MIN(Targets!$B$7/MAX(S594,0.0001),1)*Targets!$D$7)</f>
        <v>0.6569549347</v>
      </c>
    </row>
    <row r="595">
      <c r="A595" s="25">
        <v>46255.0</v>
      </c>
      <c r="B595" s="14" t="s">
        <v>115</v>
      </c>
      <c r="C595" s="14" t="s">
        <v>167</v>
      </c>
      <c r="D595" s="19" t="s">
        <v>121</v>
      </c>
      <c r="E595" s="14">
        <f t="shared" si="1"/>
        <v>8</v>
      </c>
      <c r="F595" s="19">
        <f t="shared" si="2"/>
        <v>10</v>
      </c>
      <c r="G595" s="20">
        <f t="shared" si="3"/>
        <v>1.25</v>
      </c>
      <c r="H595" s="14">
        <v>41.0</v>
      </c>
      <c r="I595" s="14">
        <v>48.0</v>
      </c>
      <c r="J595" s="14">
        <v>1.0</v>
      </c>
      <c r="K595" s="14">
        <v>3.5</v>
      </c>
      <c r="L595" s="14">
        <v>51.0</v>
      </c>
      <c r="M595" s="14">
        <v>59.0</v>
      </c>
      <c r="N595" s="14">
        <v>7.0</v>
      </c>
      <c r="O595" s="14" t="s">
        <v>143</v>
      </c>
      <c r="P595" s="14" t="s">
        <v>187</v>
      </c>
      <c r="Q595" s="26">
        <f t="shared" si="4"/>
        <v>1.25</v>
      </c>
      <c r="R595" s="26">
        <f t="shared" si="5"/>
        <v>0.8541666667</v>
      </c>
      <c r="S595" s="26">
        <f t="shared" si="6"/>
        <v>0.02083333333</v>
      </c>
      <c r="T595" s="26">
        <f t="shared" si="7"/>
        <v>0.8644067797</v>
      </c>
      <c r="U595" s="26">
        <f>IF(B595="","",MIN(Q595/Targets!$B$2,1)*Targets!$D$2+MIN(G595/100/Targets!$B$3,1)*Targets!$D$3+MIN(T595/Targets!$B$4,1)*Targets!$D$4+MIN(R595/Targets!$B$5,1)*Targets!$D$5+MIN(N595/Targets!$B$6,1)*Targets!$D$6+MIN(Targets!$B$7/MAX(S595,0.0001),1)*Targets!$D$7)</f>
        <v>0.6831028843</v>
      </c>
    </row>
    <row r="596">
      <c r="A596" s="25">
        <v>46255.0</v>
      </c>
      <c r="B596" s="14" t="s">
        <v>118</v>
      </c>
      <c r="C596" s="14" t="s">
        <v>169</v>
      </c>
      <c r="D596" s="19" t="s">
        <v>121</v>
      </c>
      <c r="E596" s="14">
        <f t="shared" si="1"/>
        <v>9</v>
      </c>
      <c r="F596" s="19">
        <f t="shared" si="2"/>
        <v>6</v>
      </c>
      <c r="G596" s="20">
        <f t="shared" si="3"/>
        <v>0.6666666667</v>
      </c>
      <c r="H596" s="14">
        <v>25.0</v>
      </c>
      <c r="I596" s="14">
        <v>31.0</v>
      </c>
      <c r="J596" s="14">
        <v>2.0</v>
      </c>
      <c r="K596" s="14">
        <v>6.2</v>
      </c>
      <c r="L596" s="14">
        <v>34.0</v>
      </c>
      <c r="M596" s="14">
        <v>41.0</v>
      </c>
      <c r="N596" s="14">
        <v>6.5</v>
      </c>
      <c r="O596" s="14" t="s">
        <v>143</v>
      </c>
      <c r="P596" s="14" t="s">
        <v>178</v>
      </c>
      <c r="Q596" s="26">
        <f t="shared" si="4"/>
        <v>0.6666666667</v>
      </c>
      <c r="R596" s="26">
        <f t="shared" si="5"/>
        <v>0.8064516129</v>
      </c>
      <c r="S596" s="26">
        <f t="shared" si="6"/>
        <v>0.06451612903</v>
      </c>
      <c r="T596" s="26">
        <f t="shared" si="7"/>
        <v>0.8292682927</v>
      </c>
      <c r="U596" s="26">
        <f>IF(B596="","",MIN(Q596/Targets!$B$2,1)*Targets!$D$2+MIN(G596/100/Targets!$B$3,1)*Targets!$D$3+MIN(T596/Targets!$B$4,1)*Targets!$D$4+MIN(R596/Targets!$B$5,1)*Targets!$D$5+MIN(N596/Targets!$B$6,1)*Targets!$D$6+MIN(Targets!$B$7/MAX(S596,0.0001),1)*Targets!$D$7)</f>
        <v>0.5862733605</v>
      </c>
    </row>
    <row r="597">
      <c r="A597" s="25">
        <v>46255.0</v>
      </c>
      <c r="B597" s="14" t="s">
        <v>123</v>
      </c>
      <c r="C597" s="14" t="s">
        <v>171</v>
      </c>
      <c r="D597" s="19" t="s">
        <v>121</v>
      </c>
      <c r="E597" s="14">
        <f t="shared" si="1"/>
        <v>15</v>
      </c>
      <c r="F597" s="19">
        <f t="shared" si="2"/>
        <v>9</v>
      </c>
      <c r="G597" s="20">
        <f t="shared" si="3"/>
        <v>0.6</v>
      </c>
      <c r="H597" s="14">
        <v>49.0</v>
      </c>
      <c r="I597" s="14">
        <v>51.0</v>
      </c>
      <c r="J597" s="14">
        <v>3.0</v>
      </c>
      <c r="K597" s="14">
        <v>2.2</v>
      </c>
      <c r="L597" s="14">
        <v>56.0</v>
      </c>
      <c r="M597" s="14">
        <v>65.0</v>
      </c>
      <c r="N597" s="14">
        <v>8.2</v>
      </c>
      <c r="O597" s="14" t="s">
        <v>143</v>
      </c>
      <c r="P597" s="14" t="s">
        <v>189</v>
      </c>
      <c r="Q597" s="26">
        <f t="shared" si="4"/>
        <v>0.6</v>
      </c>
      <c r="R597" s="26">
        <f t="shared" si="5"/>
        <v>0.9607843137</v>
      </c>
      <c r="S597" s="26">
        <f t="shared" si="6"/>
        <v>0.05882352941</v>
      </c>
      <c r="T597" s="26">
        <f t="shared" si="7"/>
        <v>0.8615384615</v>
      </c>
      <c r="U597" s="26">
        <f>IF(B597="","",MIN(Q597/Targets!$B$2,1)*Targets!$D$2+MIN(G597/100/Targets!$B$3,1)*Targets!$D$3+MIN(T597/Targets!$B$4,1)*Targets!$D$4+MIN(R597/Targets!$B$5,1)*Targets!$D$5+MIN(N597/Targets!$B$6,1)*Targets!$D$6+MIN(Targets!$B$7/MAX(S597,0.0001),1)*Targets!$D$7)</f>
        <v>0.6139230769</v>
      </c>
    </row>
    <row r="598">
      <c r="A598" s="25">
        <v>46255.0</v>
      </c>
      <c r="B598" s="14" t="s">
        <v>126</v>
      </c>
      <c r="C598" s="14" t="s">
        <v>179</v>
      </c>
      <c r="D598" s="19" t="s">
        <v>121</v>
      </c>
      <c r="E598" s="14">
        <f t="shared" si="1"/>
        <v>11</v>
      </c>
      <c r="F598" s="19">
        <f t="shared" si="2"/>
        <v>14</v>
      </c>
      <c r="G598" s="20">
        <f t="shared" si="3"/>
        <v>1.272727273</v>
      </c>
      <c r="H598" s="14">
        <v>47.0</v>
      </c>
      <c r="I598" s="14">
        <v>48.0</v>
      </c>
      <c r="J598" s="14">
        <v>2.0</v>
      </c>
      <c r="K598" s="14">
        <v>1.9</v>
      </c>
      <c r="L598" s="14">
        <v>55.0</v>
      </c>
      <c r="M598" s="14">
        <v>62.0</v>
      </c>
      <c r="N598" s="14">
        <v>8.4</v>
      </c>
      <c r="O598" s="14" t="s">
        <v>143</v>
      </c>
      <c r="P598" s="14" t="s">
        <v>187</v>
      </c>
      <c r="Q598" s="26">
        <f t="shared" si="4"/>
        <v>1.272727273</v>
      </c>
      <c r="R598" s="26">
        <f t="shared" si="5"/>
        <v>0.9791666667</v>
      </c>
      <c r="S598" s="26">
        <f t="shared" si="6"/>
        <v>0.04166666667</v>
      </c>
      <c r="T598" s="26">
        <f t="shared" si="7"/>
        <v>0.8870967742</v>
      </c>
      <c r="U598" s="26">
        <f>IF(B598="","",MIN(Q598/Targets!$B$2,1)*Targets!$D$2+MIN(G598/100/Targets!$B$3,1)*Targets!$D$3+MIN(T598/Targets!$B$4,1)*Targets!$D$4+MIN(R598/Targets!$B$5,1)*Targets!$D$5+MIN(N598/Targets!$B$6,1)*Targets!$D$6+MIN(Targets!$B$7/MAX(S598,0.0001),1)*Targets!$D$7)</f>
        <v>0.7020918866</v>
      </c>
    </row>
    <row r="599">
      <c r="A599" s="25">
        <v>46255.0</v>
      </c>
      <c r="B599" s="14" t="s">
        <v>129</v>
      </c>
      <c r="C599" s="14" t="s">
        <v>188</v>
      </c>
      <c r="D599" s="19" t="s">
        <v>121</v>
      </c>
      <c r="E599" s="14">
        <f t="shared" si="1"/>
        <v>10</v>
      </c>
      <c r="F599" s="19">
        <f t="shared" si="2"/>
        <v>12</v>
      </c>
      <c r="G599" s="20">
        <f t="shared" si="3"/>
        <v>1.2</v>
      </c>
      <c r="H599" s="14">
        <v>20.0</v>
      </c>
      <c r="I599" s="14">
        <v>26.0</v>
      </c>
      <c r="J599" s="14">
        <v>2.0</v>
      </c>
      <c r="K599" s="14">
        <v>4.7</v>
      </c>
      <c r="L599" s="14">
        <v>37.0</v>
      </c>
      <c r="M599" s="14">
        <v>52.0</v>
      </c>
      <c r="N599" s="14">
        <v>7.0</v>
      </c>
      <c r="O599" s="14" t="s">
        <v>143</v>
      </c>
      <c r="P599" s="14" t="s">
        <v>189</v>
      </c>
      <c r="Q599" s="26">
        <f t="shared" si="4"/>
        <v>1.2</v>
      </c>
      <c r="R599" s="26">
        <f t="shared" si="5"/>
        <v>0.7692307692</v>
      </c>
      <c r="S599" s="26">
        <f t="shared" si="6"/>
        <v>0.07692307692</v>
      </c>
      <c r="T599" s="26">
        <f t="shared" si="7"/>
        <v>0.7115384615</v>
      </c>
      <c r="U599" s="26">
        <f>IF(B599="","",MIN(Q599/Targets!$B$2,1)*Targets!$D$2+MIN(G599/100/Targets!$B$3,1)*Targets!$D$3+MIN(T599/Targets!$B$4,1)*Targets!$D$4+MIN(R599/Targets!$B$5,1)*Targets!$D$5+MIN(N599/Targets!$B$6,1)*Targets!$D$6+MIN(Targets!$B$7/MAX(S599,0.0001),1)*Targets!$D$7)</f>
        <v>0.6090472335</v>
      </c>
    </row>
    <row r="600">
      <c r="A600" s="25">
        <v>46255.0</v>
      </c>
      <c r="B600" s="14" t="s">
        <v>132</v>
      </c>
      <c r="C600" s="14" t="s">
        <v>190</v>
      </c>
      <c r="D600" s="19" t="s">
        <v>121</v>
      </c>
      <c r="E600" s="14">
        <f t="shared" si="1"/>
        <v>15</v>
      </c>
      <c r="F600" s="19">
        <f t="shared" si="2"/>
        <v>12</v>
      </c>
      <c r="G600" s="20">
        <f t="shared" si="3"/>
        <v>0.8</v>
      </c>
      <c r="H600" s="14">
        <v>29.0</v>
      </c>
      <c r="I600" s="14">
        <v>31.0</v>
      </c>
      <c r="J600" s="14">
        <v>1.0</v>
      </c>
      <c r="K600" s="14">
        <v>3.0</v>
      </c>
      <c r="L600" s="14">
        <v>39.0</v>
      </c>
      <c r="M600" s="14">
        <v>42.0</v>
      </c>
      <c r="N600" s="14">
        <v>7.9</v>
      </c>
      <c r="O600" s="14" t="s">
        <v>143</v>
      </c>
      <c r="P600" s="14" t="s">
        <v>186</v>
      </c>
      <c r="Q600" s="26">
        <f t="shared" si="4"/>
        <v>0.8</v>
      </c>
      <c r="R600" s="26">
        <f t="shared" si="5"/>
        <v>0.935483871</v>
      </c>
      <c r="S600" s="26">
        <f t="shared" si="6"/>
        <v>0.03225806452</v>
      </c>
      <c r="T600" s="26">
        <f t="shared" si="7"/>
        <v>0.9285714286</v>
      </c>
      <c r="U600" s="26">
        <f>IF(B600="","",MIN(Q600/Targets!$B$2,1)*Targets!$D$2+MIN(G600/100/Targets!$B$3,1)*Targets!$D$3+MIN(T600/Targets!$B$4,1)*Targets!$D$4+MIN(R600/Targets!$B$5,1)*Targets!$D$5+MIN(N600/Targets!$B$6,1)*Targets!$D$6+MIN(Targets!$B$7/MAX(S600,0.0001),1)*Targets!$D$7)</f>
        <v>0.6781524241</v>
      </c>
    </row>
    <row r="601">
      <c r="A601" s="25">
        <v>46255.0</v>
      </c>
      <c r="B601" s="14" t="s">
        <v>135</v>
      </c>
      <c r="C601" s="14" t="s">
        <v>169</v>
      </c>
      <c r="D601" s="19" t="s">
        <v>121</v>
      </c>
      <c r="E601" s="14">
        <f t="shared" si="1"/>
        <v>7</v>
      </c>
      <c r="F601" s="19">
        <f t="shared" si="2"/>
        <v>15</v>
      </c>
      <c r="G601" s="20">
        <f t="shared" si="3"/>
        <v>2.142857143</v>
      </c>
      <c r="H601" s="14">
        <v>42.0</v>
      </c>
      <c r="I601" s="14">
        <v>43.0</v>
      </c>
      <c r="J601" s="14">
        <v>3.0</v>
      </c>
      <c r="K601" s="14">
        <v>1.8</v>
      </c>
      <c r="L601" s="14">
        <v>51.0</v>
      </c>
      <c r="M601" s="14">
        <v>61.0</v>
      </c>
      <c r="N601" s="14">
        <v>7.3</v>
      </c>
      <c r="O601" s="14" t="s">
        <v>143</v>
      </c>
      <c r="P601" s="14" t="s">
        <v>178</v>
      </c>
      <c r="Q601" s="26">
        <f t="shared" si="4"/>
        <v>2.142857143</v>
      </c>
      <c r="R601" s="26">
        <f t="shared" si="5"/>
        <v>0.976744186</v>
      </c>
      <c r="S601" s="26">
        <f t="shared" si="6"/>
        <v>0.06976744186</v>
      </c>
      <c r="T601" s="26">
        <f t="shared" si="7"/>
        <v>0.8360655738</v>
      </c>
      <c r="U601" s="26">
        <f>IF(B601="","",MIN(Q601/Targets!$B$2,1)*Targets!$D$2+MIN(G601/100/Targets!$B$3,1)*Targets!$D$3+MIN(T601/Targets!$B$4,1)*Targets!$D$4+MIN(R601/Targets!$B$5,1)*Targets!$D$5+MIN(N601/Targets!$B$6,1)*Targets!$D$6+MIN(Targets!$B$7/MAX(S601,0.0001),1)*Targets!$D$7)</f>
        <v>0.6681537861</v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D2:D601">
      <formula1>"Content Creation,Content Review"</formula1>
    </dataValidation>
    <dataValidation type="list" allowBlank="1" sqref="O2:O501">
      <formula1>"Present,Leave,Half Day,Holiday"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12.25"/>
    <col customWidth="1" min="3" max="3" width="14.88"/>
    <col customWidth="1" min="4" max="4" width="14.0"/>
    <col customWidth="1" min="5" max="5" width="16.63"/>
    <col customWidth="1" min="6" max="6" width="14.88"/>
    <col customWidth="1" min="7" max="7" width="17.5"/>
    <col customWidth="1" min="8" max="8" width="13.13"/>
    <col customWidth="1" min="9" max="26" width="7.63"/>
  </cols>
  <sheetData>
    <row r="1">
      <c r="A1" s="2" t="s">
        <v>192</v>
      </c>
      <c r="B1" s="3"/>
      <c r="C1" s="3"/>
      <c r="D1" s="3"/>
      <c r="E1" s="3"/>
      <c r="F1" s="3"/>
      <c r="G1" s="3"/>
      <c r="H1" s="5"/>
    </row>
    <row r="3">
      <c r="A3" s="21" t="s">
        <v>193</v>
      </c>
      <c r="B3" s="5"/>
      <c r="C3" s="21" t="s">
        <v>194</v>
      </c>
      <c r="D3" s="5"/>
      <c r="E3" s="21" t="s">
        <v>195</v>
      </c>
      <c r="F3" s="5"/>
      <c r="G3" s="21" t="s">
        <v>196</v>
      </c>
      <c r="H3" s="5"/>
    </row>
    <row r="4">
      <c r="A4" s="22">
        <f>COUNTA('Employee Master'!$A$2:$A$21)</f>
        <v>20</v>
      </c>
      <c r="C4" s="23">
        <f>IFERROR(AVERAGE('Daily Log'!Q2:Q501),0)</f>
        <v>1.024113034</v>
      </c>
      <c r="E4" s="23">
        <f>IFERROR(AVERAGE('Daily Log'!G2:G501)/100,0)</f>
        <v>0.01024113034</v>
      </c>
      <c r="G4" s="23">
        <f>IFERROR(AVERAGE('Daily Log'!U2:U501),0)</f>
        <v>0.6378577824</v>
      </c>
    </row>
    <row r="7">
      <c r="A7" s="24" t="s">
        <v>197</v>
      </c>
    </row>
    <row r="8">
      <c r="A8" s="12" t="s">
        <v>47</v>
      </c>
      <c r="B8" s="12" t="s">
        <v>181</v>
      </c>
      <c r="C8" s="12" t="s">
        <v>74</v>
      </c>
      <c r="D8" s="12" t="s">
        <v>175</v>
      </c>
      <c r="E8" s="12" t="s">
        <v>198</v>
      </c>
      <c r="F8" s="12" t="s">
        <v>199</v>
      </c>
      <c r="G8" s="12" t="s">
        <v>176</v>
      </c>
      <c r="H8" s="12" t="s">
        <v>177</v>
      </c>
    </row>
    <row r="9">
      <c r="A9" s="4" t="str">
        <f>IFERROR(__xludf.DUMMYFUNCTION("IFERROR(INDEX(UNIQUE(FILTER('Daily Log'!$B$2:$B$501,'Daily Log'!$B$2:$B$501&lt;&gt;"""")),1),"""")"),"Amit Sharma")</f>
        <v>Amit Sharma</v>
      </c>
      <c r="B9" s="4">
        <f>IF(A9="","",COUNTIF('Daily Log'!$B$2:$B$501,A9))</f>
        <v>25</v>
      </c>
      <c r="C9" s="4">
        <f>IF(A9="","",SUMIF('Daily Log'!$B$2:$B$501,A9,'Daily Log'!$F$2:$F$501))</f>
        <v>273</v>
      </c>
      <c r="D9" s="16">
        <f>IF(A9="","",AVERAGEIF('Daily Log'!$B$2:$B$501,A9,'Daily Log'!$G$2:$G$501))</f>
        <v>1.123129759</v>
      </c>
      <c r="E9" s="16">
        <f>IF(A9="","",AVERAGEIF('Daily Log'!$B$2:$B$501,A9,'Daily Log'!$Q$2:$Q$501))</f>
        <v>1.123129759</v>
      </c>
      <c r="F9" s="16">
        <f>IF(A9="","",AVERAGEIF('Daily Log'!$B$2:$B$501,A9,'Daily Log'!$T$2:$T$501))</f>
        <v>0.8792876972</v>
      </c>
      <c r="G9" s="4">
        <f>IF(A9="","",AVERAGEIF('Daily Log'!$B$2:$B$501,A9,'Daily Log'!$N$2:$N$501))</f>
        <v>7.208</v>
      </c>
      <c r="H9" s="16">
        <f>IF(A9="","",AVERAGEIF('Daily Log'!$B$2:$B$501,A9,'Daily Log'!$U$2:$U$501))</f>
        <v>0.6624371241</v>
      </c>
    </row>
    <row r="10">
      <c r="A10" s="4" t="str">
        <f>IFERROR(__xludf.DUMMYFUNCTION("IFERROR(INDEX(UNIQUE(FILTER('Daily Log'!$B$2:$B$501,'Daily Log'!$B$2:$B$501&lt;&gt;"""")),2),"""")"),"Priya Singh")</f>
        <v>Priya Singh</v>
      </c>
      <c r="B10" s="4">
        <f>IF(A10="","",COUNTIF('Daily Log'!$B$2:$B$501,A10))</f>
        <v>25</v>
      </c>
      <c r="C10" s="4">
        <f>IF(A10="","",SUMIF('Daily Log'!$B$2:$B$501,A10,'Daily Log'!$F$2:$F$501))</f>
        <v>248</v>
      </c>
      <c r="D10" s="16">
        <f>IF(A10="","",AVERAGEIF('Daily Log'!$B$2:$B$501,A10,'Daily Log'!$G$2:$G$501))</f>
        <v>0.9603366078</v>
      </c>
      <c r="E10" s="16">
        <f>IF(A10="","",AVERAGEIF('Daily Log'!$B$2:$B$501,A10,'Daily Log'!$Q$2:$Q$501))</f>
        <v>0.9603366078</v>
      </c>
      <c r="F10" s="16">
        <f>IF(A10="","",AVERAGEIF('Daily Log'!$B$2:$B$501,A10,'Daily Log'!$T$2:$T$501))</f>
        <v>0.8312554678</v>
      </c>
      <c r="G10" s="4">
        <f>IF(A10="","",AVERAGEIF('Daily Log'!$B$2:$B$501,A10,'Daily Log'!$N$2:$N$501))</f>
        <v>6.828</v>
      </c>
      <c r="H10" s="16">
        <f>IF(A10="","",AVERAGEIF('Daily Log'!$B$2:$B$501,A10,'Daily Log'!$U$2:$U$501))</f>
        <v>0.6320589582</v>
      </c>
    </row>
    <row r="11">
      <c r="A11" s="4" t="str">
        <f>IFERROR(__xludf.DUMMYFUNCTION("IFERROR(INDEX(UNIQUE(FILTER('Daily Log'!$B$2:$B$501,'Daily Log'!$B$2:$B$501&lt;&gt;"""")),3),"""")"),"Rohit Kumar")</f>
        <v>Rohit Kumar</v>
      </c>
      <c r="B11" s="4">
        <f>IF(A11="","",COUNTIF('Daily Log'!$B$2:$B$501,A11))</f>
        <v>25</v>
      </c>
      <c r="C11" s="4">
        <f>IF(A11="","",SUMIF('Daily Log'!$B$2:$B$501,A11,'Daily Log'!$F$2:$F$501))</f>
        <v>275</v>
      </c>
      <c r="D11" s="16">
        <f>IF(A11="","",AVERAGEIF('Daily Log'!$B$2:$B$501,A11,'Daily Log'!$G$2:$G$501))</f>
        <v>1.083138417</v>
      </c>
      <c r="E11" s="16">
        <f>IF(A11="","",AVERAGEIF('Daily Log'!$B$2:$B$501,A11,'Daily Log'!$Q$2:$Q$501))</f>
        <v>1.083138417</v>
      </c>
      <c r="F11" s="16">
        <f>IF(A11="","",AVERAGEIF('Daily Log'!$B$2:$B$501,A11,'Daily Log'!$T$2:$T$501))</f>
        <v>0.8437624816</v>
      </c>
      <c r="G11" s="4">
        <f>IF(A11="","",AVERAGEIF('Daily Log'!$B$2:$B$501,A11,'Daily Log'!$N$2:$N$501))</f>
        <v>6.88</v>
      </c>
      <c r="H11" s="16">
        <f>IF(A11="","",AVERAGEIF('Daily Log'!$B$2:$B$501,A11,'Daily Log'!$U$2:$U$501))</f>
        <v>0.6529408058</v>
      </c>
    </row>
    <row r="12">
      <c r="A12" s="4" t="str">
        <f>IFERROR(__xludf.DUMMYFUNCTION("IFERROR(INDEX(UNIQUE(FILTER('Daily Log'!$B$2:$B$501,'Daily Log'!$B$2:$B$501&lt;&gt;"""")),4),"""")"),"Neha Verma")</f>
        <v>Neha Verma</v>
      </c>
      <c r="B12" s="4">
        <f>IF(A12="","",COUNTIF('Daily Log'!$B$2:$B$501,A12))</f>
        <v>25</v>
      </c>
      <c r="C12" s="4">
        <f>IF(A12="","",SUMIF('Daily Log'!$B$2:$B$501,A12,'Daily Log'!$F$2:$F$501))</f>
        <v>261</v>
      </c>
      <c r="D12" s="16">
        <f>IF(A12="","",AVERAGEIF('Daily Log'!$B$2:$B$501,A12,'Daily Log'!$G$2:$G$501))</f>
        <v>0.9632198912</v>
      </c>
      <c r="E12" s="16">
        <f>IF(A12="","",AVERAGEIF('Daily Log'!$B$2:$B$501,A12,'Daily Log'!$Q$2:$Q$501))</f>
        <v>0.9632198912</v>
      </c>
      <c r="F12" s="16">
        <f>IF(A12="","",AVERAGEIF('Daily Log'!$B$2:$B$501,A12,'Daily Log'!$T$2:$T$501))</f>
        <v>0.8048166897</v>
      </c>
      <c r="G12" s="4">
        <f>IF(A12="","",AVERAGEIF('Daily Log'!$B$2:$B$501,A12,'Daily Log'!$N$2:$N$501))</f>
        <v>6.6</v>
      </c>
      <c r="H12" s="16">
        <f>IF(A12="","",AVERAGEIF('Daily Log'!$B$2:$B$501,A12,'Daily Log'!$U$2:$U$501))</f>
        <v>0.6308358325</v>
      </c>
    </row>
    <row r="13">
      <c r="A13" s="4" t="str">
        <f>IFERROR(__xludf.DUMMYFUNCTION("IFERROR(INDEX(UNIQUE(FILTER('Daily Log'!$B$2:$B$501,'Daily Log'!$B$2:$B$501&lt;&gt;"""")),5),"""")"),"Ankit Yadav")</f>
        <v>Ankit Yadav</v>
      </c>
      <c r="B13" s="4">
        <f>IF(A13="","",COUNTIF('Daily Log'!$B$2:$B$501,A13))</f>
        <v>25</v>
      </c>
      <c r="C13" s="4">
        <f>IF(A13="","",SUMIF('Daily Log'!$B$2:$B$501,A13,'Daily Log'!$F$2:$F$501))</f>
        <v>225</v>
      </c>
      <c r="D13" s="16">
        <f>IF(A13="","",AVERAGEIF('Daily Log'!$B$2:$B$501,A13,'Daily Log'!$G$2:$G$501))</f>
        <v>0.866468365</v>
      </c>
      <c r="E13" s="16">
        <f>IF(A13="","",AVERAGEIF('Daily Log'!$B$2:$B$501,A13,'Daily Log'!$Q$2:$Q$501))</f>
        <v>0.866468365</v>
      </c>
      <c r="F13" s="16">
        <f>IF(A13="","",AVERAGEIF('Daily Log'!$B$2:$B$501,A13,'Daily Log'!$T$2:$T$501))</f>
        <v>0.7655928831</v>
      </c>
      <c r="G13" s="4">
        <f>IF(A13="","",AVERAGEIF('Daily Log'!$B$2:$B$501,A13,'Daily Log'!$N$2:$N$501))</f>
        <v>6.352</v>
      </c>
      <c r="H13" s="16">
        <f>IF(A13="","",AVERAGEIF('Daily Log'!$B$2:$B$501,A13,'Daily Log'!$U$2:$U$501))</f>
        <v>0.5955447877</v>
      </c>
    </row>
    <row r="14">
      <c r="A14" s="4" t="str">
        <f>IFERROR(__xludf.DUMMYFUNCTION("IFERROR(INDEX(UNIQUE(FILTER('Daily Log'!$B$2:$B$501,'Daily Log'!$B$2:$B$501&lt;&gt;"""")),6),"""")"),"Pooja Mishra")</f>
        <v>Pooja Mishra</v>
      </c>
      <c r="B14" s="4">
        <f>IF(A14="","",COUNTIF('Daily Log'!$B$2:$B$501,A14))</f>
        <v>25</v>
      </c>
      <c r="C14" s="4">
        <f>IF(A14="","",SUMIF('Daily Log'!$B$2:$B$501,A14,'Daily Log'!$F$2:$F$501))</f>
        <v>237</v>
      </c>
      <c r="D14" s="16">
        <f>IF(A14="","",AVERAGEIF('Daily Log'!$B$2:$B$501,A14,'Daily Log'!$G$2:$G$501))</f>
        <v>0.9876451881</v>
      </c>
      <c r="E14" s="16">
        <f>IF(A14="","",AVERAGEIF('Daily Log'!$B$2:$B$501,A14,'Daily Log'!$Q$2:$Q$501))</f>
        <v>0.9876451881</v>
      </c>
      <c r="F14" s="16">
        <f>IF(A14="","",AVERAGEIF('Daily Log'!$B$2:$B$501,A14,'Daily Log'!$T$2:$T$501))</f>
        <v>0.8520430872</v>
      </c>
      <c r="G14" s="4">
        <f>IF(A14="","",AVERAGEIF('Daily Log'!$B$2:$B$501,A14,'Daily Log'!$N$2:$N$501))</f>
        <v>6.78</v>
      </c>
      <c r="H14" s="16">
        <f>IF(A14="","",AVERAGEIF('Daily Log'!$B$2:$B$501,A14,'Daily Log'!$U$2:$U$501))</f>
        <v>0.6409332521</v>
      </c>
    </row>
    <row r="15">
      <c r="A15" s="4" t="str">
        <f>IFERROR(__xludf.DUMMYFUNCTION("IFERROR(INDEX(UNIQUE(FILTER('Daily Log'!$B$2:$B$501,'Daily Log'!$B$2:$B$501&lt;&gt;"""")),7),"""")"),"Vikas Gupta")</f>
        <v>Vikas Gupta</v>
      </c>
      <c r="B15" s="4">
        <f>IF(A15="","",COUNTIF('Daily Log'!$B$2:$B$501,A15))</f>
        <v>25</v>
      </c>
      <c r="C15" s="4">
        <f>IF(A15="","",SUMIF('Daily Log'!$B$2:$B$501,A15,'Daily Log'!$F$2:$F$501))</f>
        <v>238</v>
      </c>
      <c r="D15" s="16">
        <f>IF(A15="","",AVERAGEIF('Daily Log'!$B$2:$B$501,A15,'Daily Log'!$G$2:$G$501))</f>
        <v>0.9689399489</v>
      </c>
      <c r="E15" s="16">
        <f>IF(A15="","",AVERAGEIF('Daily Log'!$B$2:$B$501,A15,'Daily Log'!$Q$2:$Q$501))</f>
        <v>0.9689399489</v>
      </c>
      <c r="F15" s="16">
        <f>IF(A15="","",AVERAGEIF('Daily Log'!$B$2:$B$501,A15,'Daily Log'!$T$2:$T$501))</f>
        <v>0.8225049145</v>
      </c>
      <c r="G15" s="4">
        <f>IF(A15="","",AVERAGEIF('Daily Log'!$B$2:$B$501,A15,'Daily Log'!$N$2:$N$501))</f>
        <v>6.656</v>
      </c>
      <c r="H15" s="16">
        <f>IF(A15="","",AVERAGEIF('Daily Log'!$B$2:$B$501,A15,'Daily Log'!$U$2:$U$501))</f>
        <v>0.6193812258</v>
      </c>
    </row>
    <row r="16">
      <c r="A16" s="4" t="str">
        <f>IFERROR(__xludf.DUMMYFUNCTION("IFERROR(INDEX(UNIQUE(FILTER('Daily Log'!$B$2:$B$501,'Daily Log'!$B$2:$B$501&lt;&gt;"""")),8),"""")"),"Shweta Singh")</f>
        <v>Shweta Singh</v>
      </c>
      <c r="B16" s="4">
        <f>IF(A16="","",COUNTIF('Daily Log'!$B$2:$B$501,A16))</f>
        <v>25</v>
      </c>
      <c r="C16" s="4">
        <f>IF(A16="","",SUMIF('Daily Log'!$B$2:$B$501,A16,'Daily Log'!$F$2:$F$501))</f>
        <v>250</v>
      </c>
      <c r="D16" s="16">
        <f>IF(A16="","",AVERAGEIF('Daily Log'!$B$2:$B$501,A16,'Daily Log'!$G$2:$G$501))</f>
        <v>0.9286837607</v>
      </c>
      <c r="E16" s="16">
        <f>IF(A16="","",AVERAGEIF('Daily Log'!$B$2:$B$501,A16,'Daily Log'!$Q$2:$Q$501))</f>
        <v>0.9286837607</v>
      </c>
      <c r="F16" s="16">
        <f>IF(A16="","",AVERAGEIF('Daily Log'!$B$2:$B$501,A16,'Daily Log'!$T$2:$T$501))</f>
        <v>0.8409972632</v>
      </c>
      <c r="G16" s="4">
        <f>IF(A16="","",AVERAGEIF('Daily Log'!$B$2:$B$501,A16,'Daily Log'!$N$2:$N$501))</f>
        <v>6.868</v>
      </c>
      <c r="H16" s="16">
        <f>IF(A16="","",AVERAGEIF('Daily Log'!$B$2:$B$501,A16,'Daily Log'!$U$2:$U$501))</f>
        <v>0.6258002838</v>
      </c>
    </row>
    <row r="17">
      <c r="A17" s="4" t="str">
        <f>IFERROR(__xludf.DUMMYFUNCTION("IFERROR(INDEX(UNIQUE(FILTER('Daily Log'!$B$2:$B$501,'Daily Log'!$B$2:$B$501&lt;&gt;"""")),9),"""")"),"Saurabh Jain")</f>
        <v>Saurabh Jain</v>
      </c>
      <c r="B17" s="4">
        <f>IF(A17="","",COUNTIF('Daily Log'!$B$2:$B$501,A17))</f>
        <v>25</v>
      </c>
      <c r="C17" s="4">
        <f>IF(A17="","",SUMIF('Daily Log'!$B$2:$B$501,A17,'Daily Log'!$F$2:$F$501))</f>
        <v>248</v>
      </c>
      <c r="D17" s="16">
        <f>IF(A17="","",AVERAGEIF('Daily Log'!$B$2:$B$501,A17,'Daily Log'!$G$2:$G$501))</f>
        <v>1.07281241</v>
      </c>
      <c r="E17" s="16">
        <f>IF(A17="","",AVERAGEIF('Daily Log'!$B$2:$B$501,A17,'Daily Log'!$Q$2:$Q$501))</f>
        <v>1.07281241</v>
      </c>
      <c r="F17" s="16">
        <f>IF(A17="","",AVERAGEIF('Daily Log'!$B$2:$B$501,A17,'Daily Log'!$T$2:$T$501))</f>
        <v>0.8566844042</v>
      </c>
      <c r="G17" s="4">
        <f>IF(A17="","",AVERAGEIF('Daily Log'!$B$2:$B$501,A17,'Daily Log'!$N$2:$N$501))</f>
        <v>6.76</v>
      </c>
      <c r="H17" s="16">
        <f>IF(A17="","",AVERAGEIF('Daily Log'!$B$2:$B$501,A17,'Daily Log'!$U$2:$U$501))</f>
        <v>0.6451800927</v>
      </c>
    </row>
    <row r="18">
      <c r="A18" s="4" t="str">
        <f>IFERROR(__xludf.DUMMYFUNCTION("IFERROR(INDEX(UNIQUE(FILTER('Daily Log'!$B$2:$B$501,'Daily Log'!$B$2:$B$501&lt;&gt;"""")),10),"""")"),"Kavita Sharma")</f>
        <v>Kavita Sharma</v>
      </c>
      <c r="B18" s="4">
        <f>IF(A18="","",COUNTIF('Daily Log'!$B$2:$B$501,A18))</f>
        <v>25</v>
      </c>
      <c r="C18" s="4">
        <f>IF(A18="","",SUMIF('Daily Log'!$B$2:$B$501,A18,'Daily Log'!$F$2:$F$501))</f>
        <v>266</v>
      </c>
      <c r="D18" s="16">
        <f>IF(A18="","",AVERAGEIF('Daily Log'!$B$2:$B$501,A18,'Daily Log'!$G$2:$G$501))</f>
        <v>0.9937443112</v>
      </c>
      <c r="E18" s="16">
        <f>IF(A18="","",AVERAGEIF('Daily Log'!$B$2:$B$501,A18,'Daily Log'!$Q$2:$Q$501))</f>
        <v>0.9937443112</v>
      </c>
      <c r="F18" s="16">
        <f>IF(A18="","",AVERAGEIF('Daily Log'!$B$2:$B$501,A18,'Daily Log'!$T$2:$T$501))</f>
        <v>0.7939061454</v>
      </c>
      <c r="G18" s="4">
        <f>IF(A18="","",AVERAGEIF('Daily Log'!$B$2:$B$501,A18,'Daily Log'!$N$2:$N$501))</f>
        <v>6.52</v>
      </c>
      <c r="H18" s="16">
        <f>IF(A18="","",AVERAGEIF('Daily Log'!$B$2:$B$501,A18,'Daily Log'!$U$2:$U$501))</f>
        <v>0.6226117865</v>
      </c>
    </row>
    <row r="19">
      <c r="A19" s="4" t="str">
        <f>IFERROR(__xludf.DUMMYFUNCTION("IFERROR(INDEX(UNIQUE(FILTER('Daily Log'!$B$2:$B$501,'Daily Log'!$B$2:$B$501&lt;&gt;"""")),11),"""")"),"Manish Kumar")</f>
        <v>Manish Kumar</v>
      </c>
      <c r="B19" s="4">
        <f>IF(A19="","",COUNTIF('Daily Log'!$B$2:$B$501,A19))</f>
        <v>25</v>
      </c>
      <c r="C19" s="4">
        <f>IF(A19="","",SUMIF('Daily Log'!$B$2:$B$501,A19,'Daily Log'!$F$2:$F$501))</f>
        <v>281</v>
      </c>
      <c r="D19" s="16">
        <f>IF(A19="","",AVERAGEIF('Daily Log'!$B$2:$B$501,A19,'Daily Log'!$G$2:$G$501))</f>
        <v>1.056571651</v>
      </c>
      <c r="E19" s="16">
        <f>IF(A19="","",AVERAGEIF('Daily Log'!$B$2:$B$501,A19,'Daily Log'!$Q$2:$Q$501))</f>
        <v>1.056571651</v>
      </c>
      <c r="F19" s="16">
        <f>IF(A19="","",AVERAGEIF('Daily Log'!$B$2:$B$501,A19,'Daily Log'!$T$2:$T$501))</f>
        <v>0.8589098362</v>
      </c>
      <c r="G19" s="4">
        <f>IF(A19="","",AVERAGEIF('Daily Log'!$B$2:$B$501,A19,'Daily Log'!$N$2:$N$501))</f>
        <v>6.844</v>
      </c>
      <c r="H19" s="16">
        <f>IF(A19="","",AVERAGEIF('Daily Log'!$B$2:$B$501,A19,'Daily Log'!$U$2:$U$501))</f>
        <v>0.6549997653</v>
      </c>
    </row>
    <row r="20">
      <c r="A20" s="4" t="str">
        <f>IFERROR(__xludf.DUMMYFUNCTION("IFERROR(INDEX(UNIQUE(FILTER('Daily Log'!$B$2:$B$501,'Daily Log'!$B$2:$B$501&lt;&gt;"""")),12),"""")"),"Riya Patel")</f>
        <v>Riya Patel</v>
      </c>
      <c r="B20" s="4">
        <f>IF(A20="","",COUNTIF('Daily Log'!$B$2:$B$501,A20))</f>
        <v>25</v>
      </c>
      <c r="C20" s="4">
        <f>IF(A20="","",SUMIF('Daily Log'!$B$2:$B$501,A20,'Daily Log'!$F$2:$F$501))</f>
        <v>270</v>
      </c>
      <c r="D20" s="16">
        <f>IF(A20="","",AVERAGEIF('Daily Log'!$B$2:$B$501,A20,'Daily Log'!$G$2:$G$501))</f>
        <v>0.9875506716</v>
      </c>
      <c r="E20" s="16">
        <f>IF(A20="","",AVERAGEIF('Daily Log'!$B$2:$B$501,A20,'Daily Log'!$Q$2:$Q$501))</f>
        <v>0.9875506716</v>
      </c>
      <c r="F20" s="16">
        <f>IF(A20="","",AVERAGEIF('Daily Log'!$B$2:$B$501,A20,'Daily Log'!$T$2:$T$501))</f>
        <v>0.8722333884</v>
      </c>
      <c r="G20" s="4">
        <f>IF(A20="","",AVERAGEIF('Daily Log'!$B$2:$B$501,A20,'Daily Log'!$N$2:$N$501))</f>
        <v>7.196</v>
      </c>
      <c r="H20" s="16">
        <f>IF(A20="","",AVERAGEIF('Daily Log'!$B$2:$B$501,A20,'Daily Log'!$U$2:$U$501))</f>
        <v>0.6388498333</v>
      </c>
    </row>
    <row r="21">
      <c r="A21" s="4" t="str">
        <f>IFERROR(__xludf.DUMMYFUNCTION("IFERROR(INDEX(UNIQUE(FILTER('Daily Log'!$B$2:$B$501,'Daily Log'!$B$2:$B$501&lt;&gt;"""")),13),"""")"),"Deepak Singh")</f>
        <v>Deepak Singh</v>
      </c>
      <c r="B21" s="4">
        <f>IF(A21="","",COUNTIF('Daily Log'!$B$2:$B$501,A21))</f>
        <v>25</v>
      </c>
      <c r="C21" s="4">
        <f>IF(A21="","",SUMIF('Daily Log'!$B$2:$B$501,A21,'Daily Log'!$F$2:$F$501))</f>
        <v>279</v>
      </c>
      <c r="D21" s="16">
        <f>IF(A21="","",AVERAGEIF('Daily Log'!$B$2:$B$501,A21,'Daily Log'!$G$2:$G$501))</f>
        <v>1.123493007</v>
      </c>
      <c r="E21" s="16">
        <f>IF(A21="","",AVERAGEIF('Daily Log'!$B$2:$B$501,A21,'Daily Log'!$Q$2:$Q$501))</f>
        <v>1.123493007</v>
      </c>
      <c r="F21" s="16">
        <f>IF(A21="","",AVERAGEIF('Daily Log'!$B$2:$B$501,A21,'Daily Log'!$T$2:$T$501))</f>
        <v>0.8761514775</v>
      </c>
      <c r="G21" s="4">
        <f>IF(A21="","",AVERAGEIF('Daily Log'!$B$2:$B$501,A21,'Daily Log'!$N$2:$N$501))</f>
        <v>6.864</v>
      </c>
      <c r="H21" s="16">
        <f>IF(A21="","",AVERAGEIF('Daily Log'!$B$2:$B$501,A21,'Daily Log'!$U$2:$U$501))</f>
        <v>0.6607677685</v>
      </c>
    </row>
    <row r="22">
      <c r="A22" s="4" t="str">
        <f>IFERROR(__xludf.DUMMYFUNCTION("IFERROR(INDEX(UNIQUE(FILTER('Daily Log'!$B$2:$B$501,'Daily Log'!$B$2:$B$501&lt;&gt;"""")),14),"""")"),"Nisha Gupta")</f>
        <v>Nisha Gupta</v>
      </c>
      <c r="B22" s="4">
        <f>IF(A22="","",COUNTIF('Daily Log'!$B$2:$B$501,A22))</f>
        <v>25</v>
      </c>
      <c r="C22" s="4">
        <f>IF(A22="","",SUMIF('Daily Log'!$B$2:$B$501,A22,'Daily Log'!$F$2:$F$501))</f>
        <v>277</v>
      </c>
      <c r="D22" s="16">
        <f>IF(A22="","",AVERAGEIF('Daily Log'!$B$2:$B$501,A22,'Daily Log'!$G$2:$G$501))</f>
        <v>1.130356588</v>
      </c>
      <c r="E22" s="16">
        <f>IF(A22="","",AVERAGEIF('Daily Log'!$B$2:$B$501,A22,'Daily Log'!$Q$2:$Q$501))</f>
        <v>1.130356588</v>
      </c>
      <c r="F22" s="16">
        <f>IF(A22="","",AVERAGEIF('Daily Log'!$B$2:$B$501,A22,'Daily Log'!$T$2:$T$501))</f>
        <v>0.8461279163</v>
      </c>
      <c r="G22" s="4">
        <f>IF(A22="","",AVERAGEIF('Daily Log'!$B$2:$B$501,A22,'Daily Log'!$N$2:$N$501))</f>
        <v>6.812</v>
      </c>
      <c r="H22" s="16">
        <f>IF(A22="","",AVERAGEIF('Daily Log'!$B$2:$B$501,A22,'Daily Log'!$U$2:$U$501))</f>
        <v>0.6360395376</v>
      </c>
    </row>
    <row r="23">
      <c r="A23" s="4" t="str">
        <f>IFERROR(__xludf.DUMMYFUNCTION("IFERROR(INDEX(UNIQUE(FILTER('Daily Log'!$B$2:$B$501,'Daily Log'!$B$2:$B$501&lt;&gt;"""")),15),"""")"),"Arjun Verma")</f>
        <v>Arjun Verma</v>
      </c>
      <c r="B23" s="4">
        <f>IF(A23="","",COUNTIF('Daily Log'!$B$2:$B$501,A23))</f>
        <v>25</v>
      </c>
      <c r="C23" s="4">
        <f>IF(A23="","",SUMIF('Daily Log'!$B$2:$B$501,A23,'Daily Log'!$F$2:$F$501))</f>
        <v>256</v>
      </c>
      <c r="D23" s="16">
        <f>IF(A23="","",AVERAGEIF('Daily Log'!$B$2:$B$501,A23,'Daily Log'!$G$2:$G$501))</f>
        <v>1.124808469</v>
      </c>
      <c r="E23" s="16">
        <f>IF(A23="","",AVERAGEIF('Daily Log'!$B$2:$B$501,A23,'Daily Log'!$Q$2:$Q$501))</f>
        <v>1.124808469</v>
      </c>
      <c r="F23" s="16">
        <f>IF(A23="","",AVERAGEIF('Daily Log'!$B$2:$B$501,A23,'Daily Log'!$T$2:$T$501))</f>
        <v>0.8563815685</v>
      </c>
      <c r="G23" s="4">
        <f>IF(A23="","",AVERAGEIF('Daily Log'!$B$2:$B$501,A23,'Daily Log'!$N$2:$N$501))</f>
        <v>7.168</v>
      </c>
      <c r="H23" s="16">
        <f>IF(A23="","",AVERAGEIF('Daily Log'!$B$2:$B$501,A23,'Daily Log'!$U$2:$U$501))</f>
        <v>0.6563566632</v>
      </c>
    </row>
    <row r="24">
      <c r="A24" s="4" t="str">
        <f>IFERROR(__xludf.DUMMYFUNCTION("IFERROR(INDEX(UNIQUE(FILTER('Daily Log'!$B$2:$B$501,'Daily Log'!$B$2:$B$501&lt;&gt;"""")),16),"""")"),"Sneha Kumari")</f>
        <v>Sneha Kumari</v>
      </c>
      <c r="B24" s="4">
        <f>IF(A24="","",COUNTIF('Daily Log'!$B$2:$B$501,A24))</f>
        <v>25</v>
      </c>
      <c r="C24" s="4">
        <f>IF(A24="","",SUMIF('Daily Log'!$B$2:$B$501,A24,'Daily Log'!$F$2:$F$501))</f>
        <v>257</v>
      </c>
      <c r="D24" s="16">
        <f>IF(A24="","",AVERAGEIF('Daily Log'!$B$2:$B$501,A24,'Daily Log'!$G$2:$G$501))</f>
        <v>1.027897824</v>
      </c>
      <c r="E24" s="16">
        <f>IF(A24="","",AVERAGEIF('Daily Log'!$B$2:$B$501,A24,'Daily Log'!$Q$2:$Q$501))</f>
        <v>1.027897824</v>
      </c>
      <c r="F24" s="16">
        <f>IF(A24="","",AVERAGEIF('Daily Log'!$B$2:$B$501,A24,'Daily Log'!$T$2:$T$501))</f>
        <v>0.8951950171</v>
      </c>
      <c r="G24" s="4">
        <f>IF(A24="","",AVERAGEIF('Daily Log'!$B$2:$B$501,A24,'Daily Log'!$N$2:$N$501))</f>
        <v>6.948</v>
      </c>
      <c r="H24" s="16">
        <f>IF(A24="","",AVERAGEIF('Daily Log'!$B$2:$B$501,A24,'Daily Log'!$U$2:$U$501))</f>
        <v>0.6597087768</v>
      </c>
    </row>
    <row r="25">
      <c r="A25" s="4" t="str">
        <f>IFERROR(__xludf.DUMMYFUNCTION("IFERROR(INDEX(UNIQUE(FILTER('Daily Log'!$B$2:$B$501,'Daily Log'!$B$2:$B$501&lt;&gt;"""")),17),"""")"),"Gaurav Tiwari")</f>
        <v>Gaurav Tiwari</v>
      </c>
      <c r="B25" s="4">
        <f>IF(A25="","",COUNTIF('Daily Log'!$B$2:$B$501,A25))</f>
        <v>25</v>
      </c>
      <c r="C25" s="4">
        <f>IF(A25="","",SUMIF('Daily Log'!$B$2:$B$501,A25,'Daily Log'!$F$2:$F$501))</f>
        <v>253</v>
      </c>
      <c r="D25" s="16">
        <f>IF(A25="","",AVERAGEIF('Daily Log'!$B$2:$B$501,A25,'Daily Log'!$G$2:$G$501))</f>
        <v>0.9523249528</v>
      </c>
      <c r="E25" s="16">
        <f>IF(A25="","",AVERAGEIF('Daily Log'!$B$2:$B$501,A25,'Daily Log'!$Q$2:$Q$501))</f>
        <v>0.9523249528</v>
      </c>
      <c r="F25" s="16">
        <f>IF(A25="","",AVERAGEIF('Daily Log'!$B$2:$B$501,A25,'Daily Log'!$T$2:$T$501))</f>
        <v>0.796678093</v>
      </c>
      <c r="G25" s="4">
        <f>IF(A25="","",AVERAGEIF('Daily Log'!$B$2:$B$501,A25,'Daily Log'!$N$2:$N$501))</f>
        <v>6.56</v>
      </c>
      <c r="H25" s="16">
        <f>IF(A25="","",AVERAGEIF('Daily Log'!$B$2:$B$501,A25,'Daily Log'!$U$2:$U$501))</f>
        <v>0.6164321414</v>
      </c>
    </row>
    <row r="26">
      <c r="A26" s="4" t="str">
        <f>IFERROR(__xludf.DUMMYFUNCTION("IFERROR(INDEX(UNIQUE(FILTER('Daily Log'!$B$2:$B$501,'Daily Log'!$B$2:$B$501&lt;&gt;"""")),18),"""")"),"Anjali Singh")</f>
        <v>Anjali Singh</v>
      </c>
      <c r="B26" s="4">
        <f>IF(A26="","",COUNTIF('Daily Log'!$B$2:$B$501,A26))</f>
        <v>25</v>
      </c>
      <c r="C26" s="4">
        <f>IF(A26="","",SUMIF('Daily Log'!$B$2:$B$501,A26,'Daily Log'!$F$2:$F$501))</f>
        <v>290</v>
      </c>
      <c r="D26" s="16">
        <f>IF(A26="","",AVERAGEIF('Daily Log'!$B$2:$B$501,A26,'Daily Log'!$G$2:$G$501))</f>
        <v>1.149601454</v>
      </c>
      <c r="E26" s="16">
        <f>IF(A26="","",AVERAGEIF('Daily Log'!$B$2:$B$501,A26,'Daily Log'!$Q$2:$Q$501))</f>
        <v>1.149601454</v>
      </c>
      <c r="F26" s="16">
        <f>IF(A26="","",AVERAGEIF('Daily Log'!$B$2:$B$501,A26,'Daily Log'!$T$2:$T$501))</f>
        <v>0.8585300388</v>
      </c>
      <c r="G26" s="4">
        <f>IF(A26="","",AVERAGEIF('Daily Log'!$B$2:$B$501,A26,'Daily Log'!$N$2:$N$501))</f>
        <v>6.792</v>
      </c>
      <c r="H26" s="16">
        <f>IF(A26="","",AVERAGEIF('Daily Log'!$B$2:$B$501,A26,'Daily Log'!$U$2:$U$501))</f>
        <v>0.6384504945</v>
      </c>
    </row>
    <row r="27">
      <c r="A27" s="4" t="str">
        <f>IFERROR(__xludf.DUMMYFUNCTION("IFERROR(INDEX(UNIQUE(FILTER('Daily Log'!$B$2:$B$501,'Daily Log'!$B$2:$B$501&lt;&gt;"""")),19),"""")"),"Mohit Agarwal")</f>
        <v>Mohit Agarwal</v>
      </c>
      <c r="B27" s="4">
        <f>IF(A27="","",COUNTIF('Daily Log'!$B$2:$B$501,A27))</f>
        <v>25</v>
      </c>
      <c r="C27" s="4">
        <f>IF(A27="","",SUMIF('Daily Log'!$B$2:$B$501,A27,'Daily Log'!$F$2:$F$501))</f>
        <v>261</v>
      </c>
      <c r="D27" s="16">
        <f>IF(A27="","",AVERAGEIF('Daily Log'!$B$2:$B$501,A27,'Daily Log'!$G$2:$G$501))</f>
        <v>1.024374459</v>
      </c>
      <c r="E27" s="16">
        <f>IF(A27="","",AVERAGEIF('Daily Log'!$B$2:$B$501,A27,'Daily Log'!$Q$2:$Q$501))</f>
        <v>1.024374459</v>
      </c>
      <c r="F27" s="16">
        <f>IF(A27="","",AVERAGEIF('Daily Log'!$B$2:$B$501,A27,'Daily Log'!$T$2:$T$501))</f>
        <v>0.818084859</v>
      </c>
      <c r="G27" s="4">
        <f>IF(A27="","",AVERAGEIF('Daily Log'!$B$2:$B$501,A27,'Daily Log'!$N$2:$N$501))</f>
        <v>6.9</v>
      </c>
      <c r="H27" s="16">
        <f>IF(A27="","",AVERAGEIF('Daily Log'!$B$2:$B$501,A27,'Daily Log'!$U$2:$U$501))</f>
        <v>0.6283215667</v>
      </c>
    </row>
    <row r="28">
      <c r="A28" s="4" t="str">
        <f>IFERROR(__xludf.DUMMYFUNCTION("IFERROR(INDEX(UNIQUE(FILTER('Daily Log'!$B$2:$B$501,'Daily Log'!$B$2:$B$501&lt;&gt;"""")),20),"""")"),"Swati Mishra")</f>
        <v>Swati Mishra</v>
      </c>
      <c r="B28" s="4">
        <f>IF(A28="","",COUNTIF('Daily Log'!$B$2:$B$501,A28))</f>
        <v>25</v>
      </c>
      <c r="C28" s="4">
        <f>IF(A28="","",SUMIF('Daily Log'!$B$2:$B$501,A28,'Daily Log'!$F$2:$F$501))</f>
        <v>229</v>
      </c>
      <c r="D28" s="16">
        <f>IF(A28="","",AVERAGEIF('Daily Log'!$B$2:$B$501,A28,'Daily Log'!$G$2:$G$501))</f>
        <v>0.9571629482</v>
      </c>
      <c r="E28" s="16">
        <f>IF(A28="","",AVERAGEIF('Daily Log'!$B$2:$B$501,A28,'Daily Log'!$Q$2:$Q$501))</f>
        <v>0.9571629482</v>
      </c>
      <c r="F28" s="16">
        <f>IF(A28="","",AVERAGEIF('Daily Log'!$B$2:$B$501,A28,'Daily Log'!$T$2:$T$501))</f>
        <v>0.8406354756</v>
      </c>
      <c r="G28" s="4">
        <f>IF(A28="","",AVERAGEIF('Daily Log'!$B$2:$B$501,A28,'Daily Log'!$N$2:$N$501))</f>
        <v>6.516</v>
      </c>
      <c r="H28" s="16">
        <f>IF(A28="","",AVERAGEIF('Daily Log'!$B$2:$B$501,A28,'Daily Log'!$U$2:$U$501))</f>
        <v>0.6395049518</v>
      </c>
    </row>
    <row r="29"/>
    <row r="30">
      <c r="A30" s="24" t="s">
        <v>201</v>
      </c>
    </row>
    <row r="31">
      <c r="A31" s="10" t="s">
        <v>202</v>
      </c>
    </row>
    <row r="32">
      <c r="A32" s="10" t="s">
        <v>203</v>
      </c>
    </row>
    <row r="33">
      <c r="A33" s="10" t="s">
        <v>204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">
    <mergeCell ref="E4:F4"/>
    <mergeCell ref="G4:H4"/>
    <mergeCell ref="A1:H1"/>
    <mergeCell ref="A3:B3"/>
    <mergeCell ref="C3:D3"/>
    <mergeCell ref="E3:F3"/>
    <mergeCell ref="G3:H3"/>
    <mergeCell ref="A4:B4"/>
    <mergeCell ref="C4:D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5.75"/>
    <col customWidth="1" min="2" max="2" width="14.88"/>
    <col customWidth="1" min="3" max="3" width="15.75"/>
    <col customWidth="1" min="4" max="4" width="13.13"/>
    <col customWidth="1" min="5" max="5" width="14.88"/>
    <col customWidth="1" min="6" max="6" width="17.5"/>
    <col customWidth="1" min="7" max="7" width="13.13"/>
    <col customWidth="1" min="8" max="26" width="7.63"/>
  </cols>
  <sheetData>
    <row r="1">
      <c r="A1" s="2" t="s">
        <v>170</v>
      </c>
      <c r="B1" s="3"/>
      <c r="C1" s="3"/>
      <c r="D1" s="3"/>
      <c r="E1" s="3"/>
      <c r="F1" s="3"/>
      <c r="G1" s="5"/>
    </row>
    <row r="3">
      <c r="A3" s="12" t="s">
        <v>172</v>
      </c>
      <c r="B3" s="12" t="s">
        <v>173</v>
      </c>
      <c r="C3" s="12" t="s">
        <v>74</v>
      </c>
      <c r="D3" s="12" t="s">
        <v>174</v>
      </c>
      <c r="E3" s="12" t="s">
        <v>175</v>
      </c>
      <c r="F3" s="12" t="s">
        <v>176</v>
      </c>
      <c r="G3" s="12" t="s">
        <v>177</v>
      </c>
    </row>
    <row r="4">
      <c r="A4" s="9">
        <f>TODAY()-WEEKDAY(TODAY(),2)+1</f>
        <v>46251</v>
      </c>
      <c r="B4" s="4">
        <f>SUMIFS('Daily Log'!$E$2:$E$501,'Daily Log'!$A$2:$A$501,"&gt;="&amp;A4,'Daily Log'!$A$2:$A$501,"&lt;"&amp;A4+7)</f>
        <v>0</v>
      </c>
      <c r="C4" s="4">
        <f>SUMIFS('Daily Log'!$F$2:$F$501,'Daily Log'!$A$2:$A$501,"&gt;="&amp;A4,'Daily Log'!$A$2:$A$501,"&lt;"&amp;A4+7)</f>
        <v>0</v>
      </c>
      <c r="D4" s="16">
        <f t="shared" ref="D4:D29" si="1">IFERROR(C4/B4,0)</f>
        <v>0</v>
      </c>
      <c r="E4" s="16">
        <f>IFERROR(AVERAGEIFS('Daily Log'!$G$2:$G$501,'Daily Log'!$A$2:$A$501,"&gt;="&amp;A4,'Daily Log'!$A$2:$A$501,"&lt;"&amp;A4+7),0)</f>
        <v>0</v>
      </c>
      <c r="F4" s="4">
        <f>IFERROR(AVERAGEIFS('Daily Log'!$N$2:$N$501,'Daily Log'!$A$2:$A$501,"&gt;="&amp;A4,'Daily Log'!$A$2:$A$501,"&lt;"&amp;A4+7),0)</f>
        <v>0</v>
      </c>
      <c r="G4" s="16">
        <f>IFERROR(AVERAGEIFS('Daily Log'!$U$2:$U$501,'Daily Log'!$A$2:$A$501,"&gt;="&amp;A4,'Daily Log'!$A$2:$A$501,"&lt;"&amp;A4+7),0)</f>
        <v>0</v>
      </c>
    </row>
    <row r="5">
      <c r="A5" s="9">
        <f t="shared" ref="A5:A29" si="2">A4-7</f>
        <v>46244</v>
      </c>
      <c r="B5" s="4">
        <f>SUMIFS('Daily Log'!$E$2:$E$501,'Daily Log'!$A$2:$A$501,"&gt;="&amp;A5,'Daily Log'!$A$2:$A$501,"&lt;"&amp;A5+7)</f>
        <v>1066</v>
      </c>
      <c r="C5" s="4">
        <f>SUMIFS('Daily Log'!$F$2:$F$501,'Daily Log'!$A$2:$A$501,"&gt;="&amp;A5,'Daily Log'!$A$2:$A$501,"&lt;"&amp;A5+7)</f>
        <v>1011</v>
      </c>
      <c r="D5" s="16">
        <f t="shared" si="1"/>
        <v>0.9484052533</v>
      </c>
      <c r="E5" s="16">
        <f>IFERROR(AVERAGEIFS('Daily Log'!$G$2:$G$501,'Daily Log'!$A$2:$A$501,"&gt;="&amp;A5,'Daily Log'!$A$2:$A$501,"&lt;"&amp;A5+7),0)</f>
        <v>1.065435578</v>
      </c>
      <c r="F5" s="4">
        <f>IFERROR(AVERAGEIFS('Daily Log'!$N$2:$N$501,'Daily Log'!$A$2:$A$501,"&gt;="&amp;A5,'Daily Log'!$A$2:$A$501,"&lt;"&amp;A5+7),0)</f>
        <v>6.98</v>
      </c>
      <c r="G5" s="16">
        <f>IFERROR(AVERAGEIFS('Daily Log'!$U$2:$U$501,'Daily Log'!$A$2:$A$501,"&gt;="&amp;A5,'Daily Log'!$A$2:$A$501,"&lt;"&amp;A5+7),0)</f>
        <v>0.6405789357</v>
      </c>
    </row>
    <row r="6">
      <c r="A6" s="9">
        <f t="shared" si="2"/>
        <v>46237</v>
      </c>
      <c r="B6" s="4">
        <f>SUMIFS('Daily Log'!$E$2:$E$501,'Daily Log'!$A$2:$A$501,"&gt;="&amp;A6,'Daily Log'!$A$2:$A$501,"&lt;"&amp;A6+7)</f>
        <v>1096</v>
      </c>
      <c r="C6" s="4">
        <f>SUMIFS('Daily Log'!$F$2:$F$501,'Daily Log'!$A$2:$A$501,"&gt;="&amp;A6,'Daily Log'!$A$2:$A$501,"&lt;"&amp;A6+7)</f>
        <v>1016</v>
      </c>
      <c r="D6" s="16">
        <f t="shared" si="1"/>
        <v>0.9270072993</v>
      </c>
      <c r="E6" s="16">
        <f>IFERROR(AVERAGEIFS('Daily Log'!$G$2:$G$501,'Daily Log'!$A$2:$A$501,"&gt;="&amp;A6,'Daily Log'!$A$2:$A$501,"&lt;"&amp;A6+7),0)</f>
        <v>1.013113442</v>
      </c>
      <c r="F6" s="4">
        <f>IFERROR(AVERAGEIFS('Daily Log'!$N$2:$N$501,'Daily Log'!$A$2:$A$501,"&gt;="&amp;A6,'Daily Log'!$A$2:$A$501,"&lt;"&amp;A6+7),0)</f>
        <v>6.547</v>
      </c>
      <c r="G6" s="16">
        <f>IFERROR(AVERAGEIFS('Daily Log'!$U$2:$U$501,'Daily Log'!$A$2:$A$501,"&gt;="&amp;A6,'Daily Log'!$A$2:$A$501,"&lt;"&amp;A6+7),0)</f>
        <v>0.6346584325</v>
      </c>
    </row>
    <row r="7">
      <c r="A7" s="9">
        <f t="shared" si="2"/>
        <v>46230</v>
      </c>
      <c r="B7" s="4">
        <f>SUMIFS('Daily Log'!$E$2:$E$501,'Daily Log'!$A$2:$A$501,"&gt;="&amp;A7,'Daily Log'!$A$2:$A$501,"&lt;"&amp;A7+7)</f>
        <v>1133</v>
      </c>
      <c r="C7" s="4">
        <f>SUMIFS('Daily Log'!$F$2:$F$501,'Daily Log'!$A$2:$A$501,"&gt;="&amp;A7,'Daily Log'!$A$2:$A$501,"&lt;"&amp;A7+7)</f>
        <v>1088</v>
      </c>
      <c r="D7" s="16">
        <f t="shared" si="1"/>
        <v>0.960282436</v>
      </c>
      <c r="E7" s="16">
        <f>IFERROR(AVERAGEIFS('Daily Log'!$G$2:$G$501,'Daily Log'!$A$2:$A$501,"&gt;="&amp;A7,'Daily Log'!$A$2:$A$501,"&lt;"&amp;A7+7),0)</f>
        <v>1.055936369</v>
      </c>
      <c r="F7" s="4">
        <f>IFERROR(AVERAGEIFS('Daily Log'!$N$2:$N$501,'Daily Log'!$A$2:$A$501,"&gt;="&amp;A7,'Daily Log'!$A$2:$A$501,"&lt;"&amp;A7+7),0)</f>
        <v>7.026</v>
      </c>
      <c r="G7" s="16">
        <f>IFERROR(AVERAGEIFS('Daily Log'!$U$2:$U$501,'Daily Log'!$A$2:$A$501,"&gt;="&amp;A7,'Daily Log'!$A$2:$A$501,"&lt;"&amp;A7+7),0)</f>
        <v>0.6432118464</v>
      </c>
    </row>
    <row r="8">
      <c r="A8" s="9">
        <f t="shared" si="2"/>
        <v>46223</v>
      </c>
      <c r="B8" s="4">
        <f>SUMIFS('Daily Log'!$E$2:$E$501,'Daily Log'!$A$2:$A$501,"&gt;="&amp;A8,'Daily Log'!$A$2:$A$501,"&lt;"&amp;A8+7)</f>
        <v>1132</v>
      </c>
      <c r="C8" s="4">
        <f>SUMIFS('Daily Log'!$F$2:$F$501,'Daily Log'!$A$2:$A$501,"&gt;="&amp;A8,'Daily Log'!$A$2:$A$501,"&lt;"&amp;A8+7)</f>
        <v>1017</v>
      </c>
      <c r="D8" s="16">
        <f t="shared" si="1"/>
        <v>0.898409894</v>
      </c>
      <c r="E8" s="16">
        <f>IFERROR(AVERAGEIFS('Daily Log'!$G$2:$G$501,'Daily Log'!$A$2:$A$501,"&gt;="&amp;A8,'Daily Log'!$A$2:$A$501,"&lt;"&amp;A8+7),0)</f>
        <v>0.9858544095</v>
      </c>
      <c r="F8" s="4">
        <f>IFERROR(AVERAGEIFS('Daily Log'!$N$2:$N$501,'Daily Log'!$A$2:$A$501,"&gt;="&amp;A8,'Daily Log'!$A$2:$A$501,"&lt;"&amp;A8+7),0)</f>
        <v>6.717</v>
      </c>
      <c r="G8" s="16">
        <f>IFERROR(AVERAGEIFS('Daily Log'!$U$2:$U$501,'Daily Log'!$A$2:$A$501,"&gt;="&amp;A8,'Daily Log'!$A$2:$A$501,"&lt;"&amp;A8+7),0)</f>
        <v>0.6365308876</v>
      </c>
    </row>
    <row r="9">
      <c r="A9" s="9">
        <f t="shared" si="2"/>
        <v>46216</v>
      </c>
      <c r="B9" s="4">
        <f>SUMIFS('Daily Log'!$E$2:$E$501,'Daily Log'!$A$2:$A$501,"&gt;="&amp;A9,'Daily Log'!$A$2:$A$501,"&lt;"&amp;A9+7)</f>
        <v>1135</v>
      </c>
      <c r="C9" s="4">
        <f>SUMIFS('Daily Log'!$F$2:$F$501,'Daily Log'!$A$2:$A$501,"&gt;="&amp;A9,'Daily Log'!$A$2:$A$501,"&lt;"&amp;A9+7)</f>
        <v>1042</v>
      </c>
      <c r="D9" s="16">
        <f t="shared" si="1"/>
        <v>0.918061674</v>
      </c>
      <c r="E9" s="16">
        <f>IFERROR(AVERAGEIFS('Daily Log'!$G$2:$G$501,'Daily Log'!$A$2:$A$501,"&gt;="&amp;A9,'Daily Log'!$A$2:$A$501,"&lt;"&amp;A9+7),0)</f>
        <v>1.000225372</v>
      </c>
      <c r="F9" s="4">
        <f>IFERROR(AVERAGEIFS('Daily Log'!$N$2:$N$501,'Daily Log'!$A$2:$A$501,"&gt;="&amp;A9,'Daily Log'!$A$2:$A$501,"&lt;"&amp;A9+7),0)</f>
        <v>6.743</v>
      </c>
      <c r="G9" s="16">
        <f>IFERROR(AVERAGEIFS('Daily Log'!$U$2:$U$501,'Daily Log'!$A$2:$A$501,"&gt;="&amp;A9,'Daily Log'!$A$2:$A$501,"&lt;"&amp;A9+7),0)</f>
        <v>0.6343088098</v>
      </c>
    </row>
    <row r="10">
      <c r="A10" s="9">
        <f t="shared" si="2"/>
        <v>46209</v>
      </c>
      <c r="B10" s="4">
        <f>SUMIFS('Daily Log'!$E$2:$E$501,'Daily Log'!$A$2:$A$501,"&gt;="&amp;A10,'Daily Log'!$A$2:$A$501,"&lt;"&amp;A10+7)</f>
        <v>0</v>
      </c>
      <c r="C10" s="4">
        <f>SUMIFS('Daily Log'!$F$2:$F$501,'Daily Log'!$A$2:$A$501,"&gt;="&amp;A10,'Daily Log'!$A$2:$A$501,"&lt;"&amp;A10+7)</f>
        <v>0</v>
      </c>
      <c r="D10" s="16">
        <f t="shared" si="1"/>
        <v>0</v>
      </c>
      <c r="E10" s="16">
        <f>IFERROR(AVERAGEIFS('Daily Log'!$G$2:$G$501,'Daily Log'!$A$2:$A$501,"&gt;="&amp;A10,'Daily Log'!$A$2:$A$501,"&lt;"&amp;A10+7),0)</f>
        <v>0</v>
      </c>
      <c r="F10" s="4">
        <f>IFERROR(AVERAGEIFS('Daily Log'!$N$2:$N$501,'Daily Log'!$A$2:$A$501,"&gt;="&amp;A10,'Daily Log'!$A$2:$A$501,"&lt;"&amp;A10+7),0)</f>
        <v>0</v>
      </c>
      <c r="G10" s="16">
        <f>IFERROR(AVERAGEIFS('Daily Log'!$U$2:$U$501,'Daily Log'!$A$2:$A$501,"&gt;="&amp;A10,'Daily Log'!$A$2:$A$501,"&lt;"&amp;A10+7),0)</f>
        <v>0</v>
      </c>
    </row>
    <row r="11">
      <c r="A11" s="9">
        <f t="shared" si="2"/>
        <v>46202</v>
      </c>
      <c r="B11" s="4">
        <f>SUMIFS('Daily Log'!$E$2:$E$501,'Daily Log'!$A$2:$A$501,"&gt;="&amp;A11,'Daily Log'!$A$2:$A$501,"&lt;"&amp;A11+7)</f>
        <v>0</v>
      </c>
      <c r="C11" s="4">
        <f>SUMIFS('Daily Log'!$F$2:$F$501,'Daily Log'!$A$2:$A$501,"&gt;="&amp;A11,'Daily Log'!$A$2:$A$501,"&lt;"&amp;A11+7)</f>
        <v>0</v>
      </c>
      <c r="D11" s="16">
        <f t="shared" si="1"/>
        <v>0</v>
      </c>
      <c r="E11" s="16">
        <f>IFERROR(AVERAGEIFS('Daily Log'!$G$2:$G$501,'Daily Log'!$A$2:$A$501,"&gt;="&amp;A11,'Daily Log'!$A$2:$A$501,"&lt;"&amp;A11+7),0)</f>
        <v>0</v>
      </c>
      <c r="F11" s="4">
        <f>IFERROR(AVERAGEIFS('Daily Log'!$N$2:$N$501,'Daily Log'!$A$2:$A$501,"&gt;="&amp;A11,'Daily Log'!$A$2:$A$501,"&lt;"&amp;A11+7),0)</f>
        <v>0</v>
      </c>
      <c r="G11" s="16">
        <f>IFERROR(AVERAGEIFS('Daily Log'!$U$2:$U$501,'Daily Log'!$A$2:$A$501,"&gt;="&amp;A11,'Daily Log'!$A$2:$A$501,"&lt;"&amp;A11+7),0)</f>
        <v>0</v>
      </c>
    </row>
    <row r="12">
      <c r="A12" s="9">
        <f t="shared" si="2"/>
        <v>46195</v>
      </c>
      <c r="B12" s="4">
        <f>SUMIFS('Daily Log'!$E$2:$E$501,'Daily Log'!$A$2:$A$501,"&gt;="&amp;A12,'Daily Log'!$A$2:$A$501,"&lt;"&amp;A12+7)</f>
        <v>0</v>
      </c>
      <c r="C12" s="4">
        <f>SUMIFS('Daily Log'!$F$2:$F$501,'Daily Log'!$A$2:$A$501,"&gt;="&amp;A12,'Daily Log'!$A$2:$A$501,"&lt;"&amp;A12+7)</f>
        <v>0</v>
      </c>
      <c r="D12" s="16">
        <f t="shared" si="1"/>
        <v>0</v>
      </c>
      <c r="E12" s="16">
        <f>IFERROR(AVERAGEIFS('Daily Log'!$G$2:$G$501,'Daily Log'!$A$2:$A$501,"&gt;="&amp;A12,'Daily Log'!$A$2:$A$501,"&lt;"&amp;A12+7),0)</f>
        <v>0</v>
      </c>
      <c r="F12" s="4">
        <f>IFERROR(AVERAGEIFS('Daily Log'!$N$2:$N$501,'Daily Log'!$A$2:$A$501,"&gt;="&amp;A12,'Daily Log'!$A$2:$A$501,"&lt;"&amp;A12+7),0)</f>
        <v>0</v>
      </c>
      <c r="G12" s="16">
        <f>IFERROR(AVERAGEIFS('Daily Log'!$U$2:$U$501,'Daily Log'!$A$2:$A$501,"&gt;="&amp;A12,'Daily Log'!$A$2:$A$501,"&lt;"&amp;A12+7),0)</f>
        <v>0</v>
      </c>
    </row>
    <row r="13">
      <c r="A13" s="9">
        <f t="shared" si="2"/>
        <v>46188</v>
      </c>
      <c r="B13" s="4">
        <f>SUMIFS('Daily Log'!$E$2:$E$501,'Daily Log'!$A$2:$A$501,"&gt;="&amp;A13,'Daily Log'!$A$2:$A$501,"&lt;"&amp;A13+7)</f>
        <v>0</v>
      </c>
      <c r="C13" s="4">
        <f>SUMIFS('Daily Log'!$F$2:$F$501,'Daily Log'!$A$2:$A$501,"&gt;="&amp;A13,'Daily Log'!$A$2:$A$501,"&lt;"&amp;A13+7)</f>
        <v>0</v>
      </c>
      <c r="D13" s="16">
        <f t="shared" si="1"/>
        <v>0</v>
      </c>
      <c r="E13" s="16">
        <f>IFERROR(AVERAGEIFS('Daily Log'!$G$2:$G$501,'Daily Log'!$A$2:$A$501,"&gt;="&amp;A13,'Daily Log'!$A$2:$A$501,"&lt;"&amp;A13+7),0)</f>
        <v>0</v>
      </c>
      <c r="F13" s="4">
        <f>IFERROR(AVERAGEIFS('Daily Log'!$N$2:$N$501,'Daily Log'!$A$2:$A$501,"&gt;="&amp;A13,'Daily Log'!$A$2:$A$501,"&lt;"&amp;A13+7),0)</f>
        <v>0</v>
      </c>
      <c r="G13" s="16">
        <f>IFERROR(AVERAGEIFS('Daily Log'!$U$2:$U$501,'Daily Log'!$A$2:$A$501,"&gt;="&amp;A13,'Daily Log'!$A$2:$A$501,"&lt;"&amp;A13+7),0)</f>
        <v>0</v>
      </c>
    </row>
    <row r="14">
      <c r="A14" s="9">
        <f t="shared" si="2"/>
        <v>46181</v>
      </c>
      <c r="B14" s="4">
        <f>SUMIFS('Daily Log'!$E$2:$E$501,'Daily Log'!$A$2:$A$501,"&gt;="&amp;A14,'Daily Log'!$A$2:$A$501,"&lt;"&amp;A14+7)</f>
        <v>0</v>
      </c>
      <c r="C14" s="4">
        <f>SUMIFS('Daily Log'!$F$2:$F$501,'Daily Log'!$A$2:$A$501,"&gt;="&amp;A14,'Daily Log'!$A$2:$A$501,"&lt;"&amp;A14+7)</f>
        <v>0</v>
      </c>
      <c r="D14" s="16">
        <f t="shared" si="1"/>
        <v>0</v>
      </c>
      <c r="E14" s="16">
        <f>IFERROR(AVERAGEIFS('Daily Log'!$G$2:$G$501,'Daily Log'!$A$2:$A$501,"&gt;="&amp;A14,'Daily Log'!$A$2:$A$501,"&lt;"&amp;A14+7),0)</f>
        <v>0</v>
      </c>
      <c r="F14" s="4">
        <f>IFERROR(AVERAGEIFS('Daily Log'!$N$2:$N$501,'Daily Log'!$A$2:$A$501,"&gt;="&amp;A14,'Daily Log'!$A$2:$A$501,"&lt;"&amp;A14+7),0)</f>
        <v>0</v>
      </c>
      <c r="G14" s="16">
        <f>IFERROR(AVERAGEIFS('Daily Log'!$U$2:$U$501,'Daily Log'!$A$2:$A$501,"&gt;="&amp;A14,'Daily Log'!$A$2:$A$501,"&lt;"&amp;A14+7),0)</f>
        <v>0</v>
      </c>
    </row>
    <row r="15">
      <c r="A15" s="9">
        <f t="shared" si="2"/>
        <v>46174</v>
      </c>
      <c r="B15" s="4">
        <f>SUMIFS('Daily Log'!$E$2:$E$501,'Daily Log'!$A$2:$A$501,"&gt;="&amp;A15,'Daily Log'!$A$2:$A$501,"&lt;"&amp;A15+7)</f>
        <v>0</v>
      </c>
      <c r="C15" s="4">
        <f>SUMIFS('Daily Log'!$F$2:$F$501,'Daily Log'!$A$2:$A$501,"&gt;="&amp;A15,'Daily Log'!$A$2:$A$501,"&lt;"&amp;A15+7)</f>
        <v>0</v>
      </c>
      <c r="D15" s="16">
        <f t="shared" si="1"/>
        <v>0</v>
      </c>
      <c r="E15" s="16">
        <f>IFERROR(AVERAGEIFS('Daily Log'!$G$2:$G$501,'Daily Log'!$A$2:$A$501,"&gt;="&amp;A15,'Daily Log'!$A$2:$A$501,"&lt;"&amp;A15+7),0)</f>
        <v>0</v>
      </c>
      <c r="F15" s="4">
        <f>IFERROR(AVERAGEIFS('Daily Log'!$N$2:$N$501,'Daily Log'!$A$2:$A$501,"&gt;="&amp;A15,'Daily Log'!$A$2:$A$501,"&lt;"&amp;A15+7),0)</f>
        <v>0</v>
      </c>
      <c r="G15" s="16">
        <f>IFERROR(AVERAGEIFS('Daily Log'!$U$2:$U$501,'Daily Log'!$A$2:$A$501,"&gt;="&amp;A15,'Daily Log'!$A$2:$A$501,"&lt;"&amp;A15+7),0)</f>
        <v>0</v>
      </c>
    </row>
    <row r="16">
      <c r="A16" s="9">
        <f t="shared" si="2"/>
        <v>46167</v>
      </c>
      <c r="B16" s="4">
        <f>SUMIFS('Daily Log'!$E$2:$E$501,'Daily Log'!$A$2:$A$501,"&gt;="&amp;A16,'Daily Log'!$A$2:$A$501,"&lt;"&amp;A16+7)</f>
        <v>0</v>
      </c>
      <c r="C16" s="4">
        <f>SUMIFS('Daily Log'!$F$2:$F$501,'Daily Log'!$A$2:$A$501,"&gt;="&amp;A16,'Daily Log'!$A$2:$A$501,"&lt;"&amp;A16+7)</f>
        <v>0</v>
      </c>
      <c r="D16" s="16">
        <f t="shared" si="1"/>
        <v>0</v>
      </c>
      <c r="E16" s="16">
        <f>IFERROR(AVERAGEIFS('Daily Log'!$G$2:$G$501,'Daily Log'!$A$2:$A$501,"&gt;="&amp;A16,'Daily Log'!$A$2:$A$501,"&lt;"&amp;A16+7),0)</f>
        <v>0</v>
      </c>
      <c r="F16" s="4">
        <f>IFERROR(AVERAGEIFS('Daily Log'!$N$2:$N$501,'Daily Log'!$A$2:$A$501,"&gt;="&amp;A16,'Daily Log'!$A$2:$A$501,"&lt;"&amp;A16+7),0)</f>
        <v>0</v>
      </c>
      <c r="G16" s="16">
        <f>IFERROR(AVERAGEIFS('Daily Log'!$U$2:$U$501,'Daily Log'!$A$2:$A$501,"&gt;="&amp;A16,'Daily Log'!$A$2:$A$501,"&lt;"&amp;A16+7),0)</f>
        <v>0</v>
      </c>
    </row>
    <row r="17">
      <c r="A17" s="9">
        <f t="shared" si="2"/>
        <v>46160</v>
      </c>
      <c r="B17" s="4">
        <f>SUMIFS('Daily Log'!$E$2:$E$501,'Daily Log'!$A$2:$A$501,"&gt;="&amp;A17,'Daily Log'!$A$2:$A$501,"&lt;"&amp;A17+7)</f>
        <v>0</v>
      </c>
      <c r="C17" s="4">
        <f>SUMIFS('Daily Log'!$F$2:$F$501,'Daily Log'!$A$2:$A$501,"&gt;="&amp;A17,'Daily Log'!$A$2:$A$501,"&lt;"&amp;A17+7)</f>
        <v>0</v>
      </c>
      <c r="D17" s="16">
        <f t="shared" si="1"/>
        <v>0</v>
      </c>
      <c r="E17" s="16">
        <f>IFERROR(AVERAGEIFS('Daily Log'!$G$2:$G$501,'Daily Log'!$A$2:$A$501,"&gt;="&amp;A17,'Daily Log'!$A$2:$A$501,"&lt;"&amp;A17+7),0)</f>
        <v>0</v>
      </c>
      <c r="F17" s="4">
        <f>IFERROR(AVERAGEIFS('Daily Log'!$N$2:$N$501,'Daily Log'!$A$2:$A$501,"&gt;="&amp;A17,'Daily Log'!$A$2:$A$501,"&lt;"&amp;A17+7),0)</f>
        <v>0</v>
      </c>
      <c r="G17" s="16">
        <f>IFERROR(AVERAGEIFS('Daily Log'!$U$2:$U$501,'Daily Log'!$A$2:$A$501,"&gt;="&amp;A17,'Daily Log'!$A$2:$A$501,"&lt;"&amp;A17+7),0)</f>
        <v>0</v>
      </c>
    </row>
    <row r="18">
      <c r="A18" s="9">
        <f t="shared" si="2"/>
        <v>46153</v>
      </c>
      <c r="B18" s="4">
        <f>SUMIFS('Daily Log'!$E$2:$E$501,'Daily Log'!$A$2:$A$501,"&gt;="&amp;A18,'Daily Log'!$A$2:$A$501,"&lt;"&amp;A18+7)</f>
        <v>0</v>
      </c>
      <c r="C18" s="4">
        <f>SUMIFS('Daily Log'!$F$2:$F$501,'Daily Log'!$A$2:$A$501,"&gt;="&amp;A18,'Daily Log'!$A$2:$A$501,"&lt;"&amp;A18+7)</f>
        <v>0</v>
      </c>
      <c r="D18" s="16">
        <f t="shared" si="1"/>
        <v>0</v>
      </c>
      <c r="E18" s="16">
        <f>IFERROR(AVERAGEIFS('Daily Log'!$G$2:$G$501,'Daily Log'!$A$2:$A$501,"&gt;="&amp;A18,'Daily Log'!$A$2:$A$501,"&lt;"&amp;A18+7),0)</f>
        <v>0</v>
      </c>
      <c r="F18" s="4">
        <f>IFERROR(AVERAGEIFS('Daily Log'!$N$2:$N$501,'Daily Log'!$A$2:$A$501,"&gt;="&amp;A18,'Daily Log'!$A$2:$A$501,"&lt;"&amp;A18+7),0)</f>
        <v>0</v>
      </c>
      <c r="G18" s="16">
        <f>IFERROR(AVERAGEIFS('Daily Log'!$U$2:$U$501,'Daily Log'!$A$2:$A$501,"&gt;="&amp;A18,'Daily Log'!$A$2:$A$501,"&lt;"&amp;A18+7),0)</f>
        <v>0</v>
      </c>
    </row>
    <row r="19">
      <c r="A19" s="9">
        <f t="shared" si="2"/>
        <v>46146</v>
      </c>
      <c r="B19" s="4">
        <f>SUMIFS('Daily Log'!$E$2:$E$501,'Daily Log'!$A$2:$A$501,"&gt;="&amp;A19,'Daily Log'!$A$2:$A$501,"&lt;"&amp;A19+7)</f>
        <v>0</v>
      </c>
      <c r="C19" s="4">
        <f>SUMIFS('Daily Log'!$F$2:$F$501,'Daily Log'!$A$2:$A$501,"&gt;="&amp;A19,'Daily Log'!$A$2:$A$501,"&lt;"&amp;A19+7)</f>
        <v>0</v>
      </c>
      <c r="D19" s="16">
        <f t="shared" si="1"/>
        <v>0</v>
      </c>
      <c r="E19" s="16">
        <f>IFERROR(AVERAGEIFS('Daily Log'!$G$2:$G$501,'Daily Log'!$A$2:$A$501,"&gt;="&amp;A19,'Daily Log'!$A$2:$A$501,"&lt;"&amp;A19+7),0)</f>
        <v>0</v>
      </c>
      <c r="F19" s="4">
        <f>IFERROR(AVERAGEIFS('Daily Log'!$N$2:$N$501,'Daily Log'!$A$2:$A$501,"&gt;="&amp;A19,'Daily Log'!$A$2:$A$501,"&lt;"&amp;A19+7),0)</f>
        <v>0</v>
      </c>
      <c r="G19" s="16">
        <f>IFERROR(AVERAGEIFS('Daily Log'!$U$2:$U$501,'Daily Log'!$A$2:$A$501,"&gt;="&amp;A19,'Daily Log'!$A$2:$A$501,"&lt;"&amp;A19+7),0)</f>
        <v>0</v>
      </c>
    </row>
    <row r="20">
      <c r="A20" s="9">
        <f t="shared" si="2"/>
        <v>46139</v>
      </c>
      <c r="B20" s="4">
        <f>SUMIFS('Daily Log'!$E$2:$E$501,'Daily Log'!$A$2:$A$501,"&gt;="&amp;A20,'Daily Log'!$A$2:$A$501,"&lt;"&amp;A20+7)</f>
        <v>0</v>
      </c>
      <c r="C20" s="4">
        <f>SUMIFS('Daily Log'!$F$2:$F$501,'Daily Log'!$A$2:$A$501,"&gt;="&amp;A20,'Daily Log'!$A$2:$A$501,"&lt;"&amp;A20+7)</f>
        <v>0</v>
      </c>
      <c r="D20" s="16">
        <f t="shared" si="1"/>
        <v>0</v>
      </c>
      <c r="E20" s="16">
        <f>IFERROR(AVERAGEIFS('Daily Log'!$G$2:$G$501,'Daily Log'!$A$2:$A$501,"&gt;="&amp;A20,'Daily Log'!$A$2:$A$501,"&lt;"&amp;A20+7),0)</f>
        <v>0</v>
      </c>
      <c r="F20" s="4">
        <f>IFERROR(AVERAGEIFS('Daily Log'!$N$2:$N$501,'Daily Log'!$A$2:$A$501,"&gt;="&amp;A20,'Daily Log'!$A$2:$A$501,"&lt;"&amp;A20+7),0)</f>
        <v>0</v>
      </c>
      <c r="G20" s="16">
        <f>IFERROR(AVERAGEIFS('Daily Log'!$U$2:$U$501,'Daily Log'!$A$2:$A$501,"&gt;="&amp;A20,'Daily Log'!$A$2:$A$501,"&lt;"&amp;A20+7),0)</f>
        <v>0</v>
      </c>
    </row>
    <row r="21">
      <c r="A21" s="9">
        <f t="shared" si="2"/>
        <v>46132</v>
      </c>
      <c r="B21" s="4">
        <f>SUMIFS('Daily Log'!$E$2:$E$501,'Daily Log'!$A$2:$A$501,"&gt;="&amp;A21,'Daily Log'!$A$2:$A$501,"&lt;"&amp;A21+7)</f>
        <v>0</v>
      </c>
      <c r="C21" s="4">
        <f>SUMIFS('Daily Log'!$F$2:$F$501,'Daily Log'!$A$2:$A$501,"&gt;="&amp;A21,'Daily Log'!$A$2:$A$501,"&lt;"&amp;A21+7)</f>
        <v>0</v>
      </c>
      <c r="D21" s="16">
        <f t="shared" si="1"/>
        <v>0</v>
      </c>
      <c r="E21" s="16">
        <f>IFERROR(AVERAGEIFS('Daily Log'!$G$2:$G$501,'Daily Log'!$A$2:$A$501,"&gt;="&amp;A21,'Daily Log'!$A$2:$A$501,"&lt;"&amp;A21+7),0)</f>
        <v>0</v>
      </c>
      <c r="F21" s="4">
        <f>IFERROR(AVERAGEIFS('Daily Log'!$N$2:$N$501,'Daily Log'!$A$2:$A$501,"&gt;="&amp;A21,'Daily Log'!$A$2:$A$501,"&lt;"&amp;A21+7),0)</f>
        <v>0</v>
      </c>
      <c r="G21" s="16">
        <f>IFERROR(AVERAGEIFS('Daily Log'!$U$2:$U$501,'Daily Log'!$A$2:$A$501,"&gt;="&amp;A21,'Daily Log'!$A$2:$A$501,"&lt;"&amp;A21+7),0)</f>
        <v>0</v>
      </c>
    </row>
    <row r="22">
      <c r="A22" s="9">
        <f t="shared" si="2"/>
        <v>46125</v>
      </c>
      <c r="B22" s="4">
        <f>SUMIFS('Daily Log'!$E$2:$E$501,'Daily Log'!$A$2:$A$501,"&gt;="&amp;A22,'Daily Log'!$A$2:$A$501,"&lt;"&amp;A22+7)</f>
        <v>0</v>
      </c>
      <c r="C22" s="4">
        <f>SUMIFS('Daily Log'!$F$2:$F$501,'Daily Log'!$A$2:$A$501,"&gt;="&amp;A22,'Daily Log'!$A$2:$A$501,"&lt;"&amp;A22+7)</f>
        <v>0</v>
      </c>
      <c r="D22" s="16">
        <f t="shared" si="1"/>
        <v>0</v>
      </c>
      <c r="E22" s="16">
        <f>IFERROR(AVERAGEIFS('Daily Log'!$G$2:$G$501,'Daily Log'!$A$2:$A$501,"&gt;="&amp;A22,'Daily Log'!$A$2:$A$501,"&lt;"&amp;A22+7),0)</f>
        <v>0</v>
      </c>
      <c r="F22" s="4">
        <f>IFERROR(AVERAGEIFS('Daily Log'!$N$2:$N$501,'Daily Log'!$A$2:$A$501,"&gt;="&amp;A22,'Daily Log'!$A$2:$A$501,"&lt;"&amp;A22+7),0)</f>
        <v>0</v>
      </c>
      <c r="G22" s="16">
        <f>IFERROR(AVERAGEIFS('Daily Log'!$U$2:$U$501,'Daily Log'!$A$2:$A$501,"&gt;="&amp;A22,'Daily Log'!$A$2:$A$501,"&lt;"&amp;A22+7),0)</f>
        <v>0</v>
      </c>
    </row>
    <row r="23">
      <c r="A23" s="9">
        <f t="shared" si="2"/>
        <v>46118</v>
      </c>
      <c r="B23" s="4">
        <f>SUMIFS('Daily Log'!$E$2:$E$501,'Daily Log'!$A$2:$A$501,"&gt;="&amp;A23,'Daily Log'!$A$2:$A$501,"&lt;"&amp;A23+7)</f>
        <v>0</v>
      </c>
      <c r="C23" s="4">
        <f>SUMIFS('Daily Log'!$F$2:$F$501,'Daily Log'!$A$2:$A$501,"&gt;="&amp;A23,'Daily Log'!$A$2:$A$501,"&lt;"&amp;A23+7)</f>
        <v>0</v>
      </c>
      <c r="D23" s="16">
        <f t="shared" si="1"/>
        <v>0</v>
      </c>
      <c r="E23" s="16">
        <f>IFERROR(AVERAGEIFS('Daily Log'!$G$2:$G$501,'Daily Log'!$A$2:$A$501,"&gt;="&amp;A23,'Daily Log'!$A$2:$A$501,"&lt;"&amp;A23+7),0)</f>
        <v>0</v>
      </c>
      <c r="F23" s="4">
        <f>IFERROR(AVERAGEIFS('Daily Log'!$N$2:$N$501,'Daily Log'!$A$2:$A$501,"&gt;="&amp;A23,'Daily Log'!$A$2:$A$501,"&lt;"&amp;A23+7),0)</f>
        <v>0</v>
      </c>
      <c r="G23" s="16">
        <f>IFERROR(AVERAGEIFS('Daily Log'!$U$2:$U$501,'Daily Log'!$A$2:$A$501,"&gt;="&amp;A23,'Daily Log'!$A$2:$A$501,"&lt;"&amp;A23+7),0)</f>
        <v>0</v>
      </c>
    </row>
    <row r="24">
      <c r="A24" s="9">
        <f t="shared" si="2"/>
        <v>46111</v>
      </c>
      <c r="B24" s="4">
        <f>SUMIFS('Daily Log'!$E$2:$E$501,'Daily Log'!$A$2:$A$501,"&gt;="&amp;A24,'Daily Log'!$A$2:$A$501,"&lt;"&amp;A24+7)</f>
        <v>0</v>
      </c>
      <c r="C24" s="4">
        <f>SUMIFS('Daily Log'!$F$2:$F$501,'Daily Log'!$A$2:$A$501,"&gt;="&amp;A24,'Daily Log'!$A$2:$A$501,"&lt;"&amp;A24+7)</f>
        <v>0</v>
      </c>
      <c r="D24" s="16">
        <f t="shared" si="1"/>
        <v>0</v>
      </c>
      <c r="E24" s="16">
        <f>IFERROR(AVERAGEIFS('Daily Log'!$G$2:$G$501,'Daily Log'!$A$2:$A$501,"&gt;="&amp;A24,'Daily Log'!$A$2:$A$501,"&lt;"&amp;A24+7),0)</f>
        <v>0</v>
      </c>
      <c r="F24" s="4">
        <f>IFERROR(AVERAGEIFS('Daily Log'!$N$2:$N$501,'Daily Log'!$A$2:$A$501,"&gt;="&amp;A24,'Daily Log'!$A$2:$A$501,"&lt;"&amp;A24+7),0)</f>
        <v>0</v>
      </c>
      <c r="G24" s="16">
        <f>IFERROR(AVERAGEIFS('Daily Log'!$U$2:$U$501,'Daily Log'!$A$2:$A$501,"&gt;="&amp;A24,'Daily Log'!$A$2:$A$501,"&lt;"&amp;A24+7),0)</f>
        <v>0</v>
      </c>
    </row>
    <row r="25">
      <c r="A25" s="9">
        <f t="shared" si="2"/>
        <v>46104</v>
      </c>
      <c r="B25" s="4">
        <f>SUMIFS('Daily Log'!$E$2:$E$501,'Daily Log'!$A$2:$A$501,"&gt;="&amp;A25,'Daily Log'!$A$2:$A$501,"&lt;"&amp;A25+7)</f>
        <v>0</v>
      </c>
      <c r="C25" s="4">
        <f>SUMIFS('Daily Log'!$F$2:$F$501,'Daily Log'!$A$2:$A$501,"&gt;="&amp;A25,'Daily Log'!$A$2:$A$501,"&lt;"&amp;A25+7)</f>
        <v>0</v>
      </c>
      <c r="D25" s="16">
        <f t="shared" si="1"/>
        <v>0</v>
      </c>
      <c r="E25" s="16">
        <f>IFERROR(AVERAGEIFS('Daily Log'!$G$2:$G$501,'Daily Log'!$A$2:$A$501,"&gt;="&amp;A25,'Daily Log'!$A$2:$A$501,"&lt;"&amp;A25+7),0)</f>
        <v>0</v>
      </c>
      <c r="F25" s="4">
        <f>IFERROR(AVERAGEIFS('Daily Log'!$N$2:$N$501,'Daily Log'!$A$2:$A$501,"&gt;="&amp;A25,'Daily Log'!$A$2:$A$501,"&lt;"&amp;A25+7),0)</f>
        <v>0</v>
      </c>
      <c r="G25" s="16">
        <f>IFERROR(AVERAGEIFS('Daily Log'!$U$2:$U$501,'Daily Log'!$A$2:$A$501,"&gt;="&amp;A25,'Daily Log'!$A$2:$A$501,"&lt;"&amp;A25+7),0)</f>
        <v>0</v>
      </c>
    </row>
    <row r="26">
      <c r="A26" s="9">
        <f t="shared" si="2"/>
        <v>46097</v>
      </c>
      <c r="B26" s="4">
        <f>SUMIFS('Daily Log'!$E$2:$E$501,'Daily Log'!$A$2:$A$501,"&gt;="&amp;A26,'Daily Log'!$A$2:$A$501,"&lt;"&amp;A26+7)</f>
        <v>0</v>
      </c>
      <c r="C26" s="4">
        <f>SUMIFS('Daily Log'!$F$2:$F$501,'Daily Log'!$A$2:$A$501,"&gt;="&amp;A26,'Daily Log'!$A$2:$A$501,"&lt;"&amp;A26+7)</f>
        <v>0</v>
      </c>
      <c r="D26" s="16">
        <f t="shared" si="1"/>
        <v>0</v>
      </c>
      <c r="E26" s="16">
        <f>IFERROR(AVERAGEIFS('Daily Log'!$G$2:$G$501,'Daily Log'!$A$2:$A$501,"&gt;="&amp;A26,'Daily Log'!$A$2:$A$501,"&lt;"&amp;A26+7),0)</f>
        <v>0</v>
      </c>
      <c r="F26" s="4">
        <f>IFERROR(AVERAGEIFS('Daily Log'!$N$2:$N$501,'Daily Log'!$A$2:$A$501,"&gt;="&amp;A26,'Daily Log'!$A$2:$A$501,"&lt;"&amp;A26+7),0)</f>
        <v>0</v>
      </c>
      <c r="G26" s="16">
        <f>IFERROR(AVERAGEIFS('Daily Log'!$U$2:$U$501,'Daily Log'!$A$2:$A$501,"&gt;="&amp;A26,'Daily Log'!$A$2:$A$501,"&lt;"&amp;A26+7),0)</f>
        <v>0</v>
      </c>
    </row>
    <row r="27">
      <c r="A27" s="9">
        <f t="shared" si="2"/>
        <v>46090</v>
      </c>
      <c r="B27" s="4">
        <f>SUMIFS('Daily Log'!$E$2:$E$501,'Daily Log'!$A$2:$A$501,"&gt;="&amp;A27,'Daily Log'!$A$2:$A$501,"&lt;"&amp;A27+7)</f>
        <v>0</v>
      </c>
      <c r="C27" s="4">
        <f>SUMIFS('Daily Log'!$F$2:$F$501,'Daily Log'!$A$2:$A$501,"&gt;="&amp;A27,'Daily Log'!$A$2:$A$501,"&lt;"&amp;A27+7)</f>
        <v>0</v>
      </c>
      <c r="D27" s="16">
        <f t="shared" si="1"/>
        <v>0</v>
      </c>
      <c r="E27" s="16">
        <f>IFERROR(AVERAGEIFS('Daily Log'!$G$2:$G$501,'Daily Log'!$A$2:$A$501,"&gt;="&amp;A27,'Daily Log'!$A$2:$A$501,"&lt;"&amp;A27+7),0)</f>
        <v>0</v>
      </c>
      <c r="F27" s="4">
        <f>IFERROR(AVERAGEIFS('Daily Log'!$N$2:$N$501,'Daily Log'!$A$2:$A$501,"&gt;="&amp;A27,'Daily Log'!$A$2:$A$501,"&lt;"&amp;A27+7),0)</f>
        <v>0</v>
      </c>
      <c r="G27" s="16">
        <f>IFERROR(AVERAGEIFS('Daily Log'!$U$2:$U$501,'Daily Log'!$A$2:$A$501,"&gt;="&amp;A27,'Daily Log'!$A$2:$A$501,"&lt;"&amp;A27+7),0)</f>
        <v>0</v>
      </c>
    </row>
    <row r="28">
      <c r="A28" s="9">
        <f t="shared" si="2"/>
        <v>46083</v>
      </c>
      <c r="B28" s="4">
        <f>SUMIFS('Daily Log'!$E$2:$E$501,'Daily Log'!$A$2:$A$501,"&gt;="&amp;A28,'Daily Log'!$A$2:$A$501,"&lt;"&amp;A28+7)</f>
        <v>0</v>
      </c>
      <c r="C28" s="4">
        <f>SUMIFS('Daily Log'!$F$2:$F$501,'Daily Log'!$A$2:$A$501,"&gt;="&amp;A28,'Daily Log'!$A$2:$A$501,"&lt;"&amp;A28+7)</f>
        <v>0</v>
      </c>
      <c r="D28" s="16">
        <f t="shared" si="1"/>
        <v>0</v>
      </c>
      <c r="E28" s="16">
        <f>IFERROR(AVERAGEIFS('Daily Log'!$G$2:$G$501,'Daily Log'!$A$2:$A$501,"&gt;="&amp;A28,'Daily Log'!$A$2:$A$501,"&lt;"&amp;A28+7),0)</f>
        <v>0</v>
      </c>
      <c r="F28" s="4">
        <f>IFERROR(AVERAGEIFS('Daily Log'!$N$2:$N$501,'Daily Log'!$A$2:$A$501,"&gt;="&amp;A28,'Daily Log'!$A$2:$A$501,"&lt;"&amp;A28+7),0)</f>
        <v>0</v>
      </c>
      <c r="G28" s="16">
        <f>IFERROR(AVERAGEIFS('Daily Log'!$U$2:$U$501,'Daily Log'!$A$2:$A$501,"&gt;="&amp;A28,'Daily Log'!$A$2:$A$501,"&lt;"&amp;A28+7),0)</f>
        <v>0</v>
      </c>
    </row>
    <row r="29">
      <c r="A29" s="9">
        <f t="shared" si="2"/>
        <v>46076</v>
      </c>
      <c r="B29" s="4">
        <f>SUMIFS('Daily Log'!$E$2:$E$501,'Daily Log'!$A$2:$A$501,"&gt;="&amp;A29,'Daily Log'!$A$2:$A$501,"&lt;"&amp;A29+7)</f>
        <v>0</v>
      </c>
      <c r="C29" s="4">
        <f>SUMIFS('Daily Log'!$F$2:$F$501,'Daily Log'!$A$2:$A$501,"&gt;="&amp;A29,'Daily Log'!$A$2:$A$501,"&lt;"&amp;A29+7)</f>
        <v>0</v>
      </c>
      <c r="D29" s="16">
        <f t="shared" si="1"/>
        <v>0</v>
      </c>
      <c r="E29" s="16">
        <f>IFERROR(AVERAGEIFS('Daily Log'!$G$2:$G$501,'Daily Log'!$A$2:$A$501,"&gt;="&amp;A29,'Daily Log'!$A$2:$A$501,"&lt;"&amp;A29+7),0)</f>
        <v>0</v>
      </c>
      <c r="F29" s="4">
        <f>IFERROR(AVERAGEIFS('Daily Log'!$N$2:$N$501,'Daily Log'!$A$2:$A$501,"&gt;="&amp;A29,'Daily Log'!$A$2:$A$501,"&lt;"&amp;A29+7),0)</f>
        <v>0</v>
      </c>
      <c r="G29" s="16">
        <f>IFERROR(AVERAGEIFS('Daily Log'!$U$2:$U$501,'Daily Log'!$A$2:$A$501,"&gt;="&amp;A29,'Daily Log'!$A$2:$A$501,"&lt;"&amp;A29+7),0)</f>
        <v>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3" width="19.25"/>
    <col customWidth="1" min="4" max="4" width="10.5"/>
    <col customWidth="1" min="5" max="5" width="13.13"/>
    <col customWidth="1" min="6" max="6" width="14.88"/>
    <col customWidth="1" min="7" max="7" width="12.25"/>
    <col customWidth="1" min="8" max="8" width="13.13"/>
    <col customWidth="1" min="9" max="9" width="11.38"/>
    <col customWidth="1" min="10" max="10" width="10.5"/>
    <col customWidth="1" min="11" max="11" width="12.25"/>
    <col customWidth="1" min="12" max="12" width="13.13"/>
    <col customWidth="1" min="13" max="13" width="17.5"/>
    <col customWidth="1" min="14" max="14" width="12.25"/>
    <col customWidth="1" min="15" max="15" width="17.5"/>
    <col customWidth="1" min="16" max="26" width="7.63"/>
  </cols>
  <sheetData>
    <row r="1">
      <c r="A1" s="1" t="s">
        <v>1</v>
      </c>
      <c r="B1" s="1" t="s">
        <v>2</v>
      </c>
      <c r="C1" s="1" t="s">
        <v>180</v>
      </c>
      <c r="D1" s="1" t="s">
        <v>181</v>
      </c>
      <c r="E1" s="1" t="s">
        <v>173</v>
      </c>
      <c r="F1" s="1" t="s">
        <v>74</v>
      </c>
      <c r="G1" s="1" t="s">
        <v>174</v>
      </c>
      <c r="H1" s="1" t="s">
        <v>175</v>
      </c>
      <c r="I1" s="1" t="s">
        <v>182</v>
      </c>
      <c r="J1" s="1" t="s">
        <v>183</v>
      </c>
      <c r="K1" s="1" t="s">
        <v>184</v>
      </c>
      <c r="L1" s="1" t="s">
        <v>86</v>
      </c>
      <c r="M1" s="1" t="s">
        <v>176</v>
      </c>
      <c r="N1" s="1" t="s">
        <v>177</v>
      </c>
      <c r="O1" s="1" t="s">
        <v>185</v>
      </c>
    </row>
    <row r="2">
      <c r="A2" s="4" t="s">
        <v>9</v>
      </c>
      <c r="B2" s="4" t="s">
        <v>10</v>
      </c>
      <c r="C2" s="4" t="s">
        <v>14</v>
      </c>
      <c r="D2" s="4">
        <f>COUNTIF('Daily Log'!$B$2:$B$601,B2)</f>
        <v>30</v>
      </c>
      <c r="E2" s="4">
        <f>SUMIF('Daily Log'!$B$2:$B$601,B2,'Daily Log'!$E$2:$E$601)</f>
        <v>327</v>
      </c>
      <c r="F2" s="4">
        <f>SUMIF('Daily Log'!$B$2:$B$601,B2,'Daily Log'!$F$2:$F$601)</f>
        <v>333</v>
      </c>
      <c r="G2" s="16">
        <f t="shared" ref="G2:G21" si="1">IFERROR(F2/E2,0)</f>
        <v>1.018348624</v>
      </c>
      <c r="H2" s="16">
        <f>IFERROR(AVERAGEIF('Daily Log'!$B$2:$B$601,B2,'Daily Log'!$G$2:$G$601),0)</f>
        <v>1.144433529</v>
      </c>
      <c r="I2" s="16">
        <f>IFERROR(SUMIF('Daily Log'!$B$2:$B$601,B2,'Daily Log'!$H$2:$H$601)/SUMIF('Daily Log'!$B$2:$B$601,B2,'Daily Log'!$I$2:$I$601),0)</f>
        <v>0.9203612479</v>
      </c>
      <c r="J2" s="16">
        <f>IFERROR(SUMIF('Daily Log'!$B$2:$B$601,B2,'Daily Log'!$J$2:$J$601)/SUMIF('Daily Log'!$B$2:$B$601,B2,'Daily Log'!$I$2:$I$601),0)</f>
        <v>0.04105090312</v>
      </c>
      <c r="K2" s="16">
        <f>IFERROR(SUMIF('Daily Log'!$B$2:$B$601,B2,'Daily Log'!$L$2:$L$601)/SUMIF('Daily Log'!$B$2:$B$601,B2,'Daily Log'!$M$2:$M$601),0)</f>
        <v>0.8840025494</v>
      </c>
      <c r="L2" s="4">
        <f>IFERROR(AVERAGEIF('Daily Log'!$B$2:$B$601,B2,'Daily Log'!$K$2:$K$601),0)</f>
        <v>3.423333333</v>
      </c>
      <c r="M2" s="4">
        <f>IFERROR(AVERAGEIF('Daily Log'!$B$2:$B$601,B2,'Daily Log'!$N$2:$N$601),0)</f>
        <v>7.243333333</v>
      </c>
      <c r="N2" s="16">
        <f>IFERROR(AVERAGEIF('Daily Log'!$B$2:$B$601,B2,'Daily Log'!$U$2:$U$601),0)</f>
        <v>0.6656654413</v>
      </c>
      <c r="O2" s="4" t="str">
        <f t="shared" ref="O2:O21" si="2">IF(N2&gt;=0.9,"Excellent",IF(N2&gt;=0.75,"Good",IF(N2&gt;=0.6,"Needs Improvement","Critical")))</f>
        <v>Needs Improvement</v>
      </c>
    </row>
    <row r="3">
      <c r="A3" s="4" t="s">
        <v>23</v>
      </c>
      <c r="B3" s="4" t="s">
        <v>25</v>
      </c>
      <c r="C3" s="4" t="s">
        <v>167</v>
      </c>
      <c r="D3" s="4">
        <f>COUNTIF('Daily Log'!$B$2:$B$601,B3)</f>
        <v>30</v>
      </c>
      <c r="E3" s="4">
        <f>SUMIF('Daily Log'!$B$2:$B$601,B3,'Daily Log'!$E$2:$E$601)</f>
        <v>333</v>
      </c>
      <c r="F3" s="4">
        <f>SUMIF('Daily Log'!$B$2:$B$601,B3,'Daily Log'!$F$2:$F$601)</f>
        <v>305</v>
      </c>
      <c r="G3" s="16">
        <f t="shared" si="1"/>
        <v>0.9159159159</v>
      </c>
      <c r="H3" s="16">
        <f>IFERROR(AVERAGEIF('Daily Log'!$B$2:$B$601,B3,'Daily Log'!$G$2:$G$601),0)</f>
        <v>1.008217014</v>
      </c>
      <c r="I3" s="16">
        <f>IFERROR(SUMIF('Daily Log'!$B$2:$B$601,B3,'Daily Log'!$H$2:$H$601)/SUMIF('Daily Log'!$B$2:$B$601,B3,'Daily Log'!$I$2:$I$601),0)</f>
        <v>0.9179755672</v>
      </c>
      <c r="J3" s="16">
        <f>IFERROR(SUMIF('Daily Log'!$B$2:$B$601,B3,'Daily Log'!$J$2:$J$601)/SUMIF('Daily Log'!$B$2:$B$601,B3,'Daily Log'!$I$2:$I$601),0)</f>
        <v>0.0410122164</v>
      </c>
      <c r="K3" s="16">
        <f>IFERROR(SUMIF('Daily Log'!$B$2:$B$601,B3,'Daily Log'!$L$2:$L$601)/SUMIF('Daily Log'!$B$2:$B$601,B3,'Daily Log'!$M$2:$M$601),0)</f>
        <v>0.8659370725</v>
      </c>
      <c r="L3" s="4">
        <f>IFERROR(AVERAGEIF('Daily Log'!$B$2:$B$601,B3,'Daily Log'!$K$2:$K$601),0)</f>
        <v>3.4</v>
      </c>
      <c r="M3" s="4">
        <f>IFERROR(AVERAGEIF('Daily Log'!$B$2:$B$601,B3,'Daily Log'!$N$2:$N$601),0)</f>
        <v>6.853333333</v>
      </c>
      <c r="N3" s="16">
        <f>IFERROR(AVERAGEIF('Daily Log'!$B$2:$B$601,B3,'Daily Log'!$U$2:$U$601),0)</f>
        <v>0.638898643</v>
      </c>
      <c r="O3" s="4" t="str">
        <f t="shared" si="2"/>
        <v>Needs Improvement</v>
      </c>
    </row>
    <row r="4">
      <c r="A4" s="4" t="s">
        <v>36</v>
      </c>
      <c r="B4" s="4" t="s">
        <v>37</v>
      </c>
      <c r="C4" s="4" t="s">
        <v>169</v>
      </c>
      <c r="D4" s="4">
        <f>COUNTIF('Daily Log'!$B$2:$B$601,B4)</f>
        <v>30</v>
      </c>
      <c r="E4" s="4">
        <f>SUMIF('Daily Log'!$B$2:$B$601,B4,'Daily Log'!$E$2:$E$601)</f>
        <v>326</v>
      </c>
      <c r="F4" s="4">
        <f>SUMIF('Daily Log'!$B$2:$B$601,B4,'Daily Log'!$F$2:$F$601)</f>
        <v>326</v>
      </c>
      <c r="G4" s="16">
        <f t="shared" si="1"/>
        <v>1</v>
      </c>
      <c r="H4" s="16">
        <f>IFERROR(AVERAGEIF('Daily Log'!$B$2:$B$601,B4,'Daily Log'!$G$2:$G$601),0)</f>
        <v>1.098647094</v>
      </c>
      <c r="I4" s="16">
        <f>IFERROR(SUMIF('Daily Log'!$B$2:$B$601,B4,'Daily Log'!$H$2:$H$601)/SUMIF('Daily Log'!$B$2:$B$601,B4,'Daily Log'!$I$2:$I$601),0)</f>
        <v>0.9005328597</v>
      </c>
      <c r="J4" s="16">
        <f>IFERROR(SUMIF('Daily Log'!$B$2:$B$601,B4,'Daily Log'!$J$2:$J$601)/SUMIF('Daily Log'!$B$2:$B$601,B4,'Daily Log'!$I$2:$I$601),0)</f>
        <v>0.04085257549</v>
      </c>
      <c r="K4" s="16">
        <f>IFERROR(SUMIF('Daily Log'!$B$2:$B$601,B4,'Daily Log'!$L$2:$L$601)/SUMIF('Daily Log'!$B$2:$B$601,B4,'Daily Log'!$M$2:$M$601),0)</f>
        <v>0.8338983051</v>
      </c>
      <c r="L4" s="4">
        <f>IFERROR(AVERAGEIF('Daily Log'!$B$2:$B$601,B4,'Daily Log'!$K$2:$K$601),0)</f>
        <v>3.94</v>
      </c>
      <c r="M4" s="4">
        <f>IFERROR(AVERAGEIF('Daily Log'!$B$2:$B$601,B4,'Daily Log'!$N$2:$N$601),0)</f>
        <v>6.883333333</v>
      </c>
      <c r="N4" s="16">
        <f>IFERROR(AVERAGEIF('Daily Log'!$B$2:$B$601,B4,'Daily Log'!$U$2:$U$601),0)</f>
        <v>0.651060784</v>
      </c>
      <c r="O4" s="4" t="str">
        <f t="shared" si="2"/>
        <v>Needs Improvement</v>
      </c>
    </row>
    <row r="5">
      <c r="A5" s="4" t="s">
        <v>41</v>
      </c>
      <c r="B5" s="4" t="s">
        <v>42</v>
      </c>
      <c r="C5" s="4" t="s">
        <v>171</v>
      </c>
      <c r="D5" s="4">
        <f>COUNTIF('Daily Log'!$B$2:$B$601,B5)</f>
        <v>30</v>
      </c>
      <c r="E5" s="4">
        <f>SUMIF('Daily Log'!$B$2:$B$601,B5,'Daily Log'!$E$2:$E$601)</f>
        <v>341</v>
      </c>
      <c r="F5" s="4">
        <f>SUMIF('Daily Log'!$B$2:$B$601,B5,'Daily Log'!$F$2:$F$601)</f>
        <v>298</v>
      </c>
      <c r="G5" s="16">
        <f t="shared" si="1"/>
        <v>0.8739002933</v>
      </c>
      <c r="H5" s="16">
        <f>IFERROR(AVERAGEIF('Daily Log'!$B$2:$B$601,B5,'Daily Log'!$G$2:$G$601),0)</f>
        <v>0.9325607726</v>
      </c>
      <c r="I5" s="16">
        <f>IFERROR(SUMIF('Daily Log'!$B$2:$B$601,B5,'Daily Log'!$H$2:$H$601)/SUMIF('Daily Log'!$B$2:$B$601,B5,'Daily Log'!$I$2:$I$601),0)</f>
        <v>0.9175686928</v>
      </c>
      <c r="J5" s="16">
        <f>IFERROR(SUMIF('Daily Log'!$B$2:$B$601,B5,'Daily Log'!$J$2:$J$601)/SUMIF('Daily Log'!$B$2:$B$601,B5,'Daily Log'!$I$2:$I$601),0)</f>
        <v>0.04662781016</v>
      </c>
      <c r="K5" s="16">
        <f>IFERROR(SUMIF('Daily Log'!$B$2:$B$601,B5,'Daily Log'!$L$2:$L$601)/SUMIF('Daily Log'!$B$2:$B$601,B5,'Daily Log'!$M$2:$M$601),0)</f>
        <v>0.8631790744</v>
      </c>
      <c r="L5" s="4">
        <f>IFERROR(AVERAGEIF('Daily Log'!$B$2:$B$601,B5,'Daily Log'!$K$2:$K$601),0)</f>
        <v>3.056666667</v>
      </c>
      <c r="M5" s="4">
        <f>IFERROR(AVERAGEIF('Daily Log'!$B$2:$B$601,B5,'Daily Log'!$N$2:$N$601),0)</f>
        <v>6.76</v>
      </c>
      <c r="N5" s="16">
        <f>IFERROR(AVERAGEIF('Daily Log'!$B$2:$B$601,B5,'Daily Log'!$U$2:$U$601),0)</f>
        <v>0.6328773536</v>
      </c>
      <c r="O5" s="4" t="str">
        <f t="shared" si="2"/>
        <v>Needs Improvement</v>
      </c>
    </row>
    <row r="6">
      <c r="A6" s="4" t="s">
        <v>45</v>
      </c>
      <c r="B6" s="4" t="s">
        <v>46</v>
      </c>
      <c r="C6" s="4" t="s">
        <v>179</v>
      </c>
      <c r="D6" s="4">
        <f>COUNTIF('Daily Log'!$B$2:$B$601,B6)</f>
        <v>30</v>
      </c>
      <c r="E6" s="4">
        <f>SUMIF('Daily Log'!$B$2:$B$601,B6,'Daily Log'!$E$2:$E$601)</f>
        <v>346</v>
      </c>
      <c r="F6" s="4">
        <f>SUMIF('Daily Log'!$B$2:$B$601,B6,'Daily Log'!$F$2:$F$601)</f>
        <v>271</v>
      </c>
      <c r="G6" s="16">
        <f t="shared" si="1"/>
        <v>0.7832369942</v>
      </c>
      <c r="H6" s="16">
        <f>IFERROR(AVERAGEIF('Daily Log'!$B$2:$B$601,B6,'Daily Log'!$G$2:$G$601),0)</f>
        <v>0.8651399989</v>
      </c>
      <c r="I6" s="16">
        <f>IFERROR(SUMIF('Daily Log'!$B$2:$B$601,B6,'Daily Log'!$H$2:$H$601)/SUMIF('Daily Log'!$B$2:$B$601,B6,'Daily Log'!$I$2:$I$601),0)</f>
        <v>0.8929313929</v>
      </c>
      <c r="J6" s="16">
        <f>IFERROR(SUMIF('Daily Log'!$B$2:$B$601,B6,'Daily Log'!$J$2:$J$601)/SUMIF('Daily Log'!$B$2:$B$601,B6,'Daily Log'!$I$2:$I$601),0)</f>
        <v>0.04365904366</v>
      </c>
      <c r="K6" s="16">
        <f>IFERROR(SUMIF('Daily Log'!$B$2:$B$601,B6,'Daily Log'!$L$2:$L$601)/SUMIF('Daily Log'!$B$2:$B$601,B6,'Daily Log'!$M$2:$M$601),0)</f>
        <v>0.8229700073</v>
      </c>
      <c r="L6" s="4">
        <f>IFERROR(AVERAGEIF('Daily Log'!$B$2:$B$601,B6,'Daily Log'!$K$2:$K$601),0)</f>
        <v>3.6</v>
      </c>
      <c r="M6" s="4">
        <f>IFERROR(AVERAGEIF('Daily Log'!$B$2:$B$601,B6,'Daily Log'!$N$2:$N$601),0)</f>
        <v>6.44</v>
      </c>
      <c r="N6" s="16">
        <f>IFERROR(AVERAGEIF('Daily Log'!$B$2:$B$601,B6,'Daily Log'!$U$2:$U$601),0)</f>
        <v>0.596260177</v>
      </c>
      <c r="O6" s="4" t="str">
        <f t="shared" si="2"/>
        <v>Critical</v>
      </c>
    </row>
    <row r="7">
      <c r="A7" s="4" t="s">
        <v>52</v>
      </c>
      <c r="B7" s="4" t="s">
        <v>53</v>
      </c>
      <c r="C7" s="4" t="s">
        <v>14</v>
      </c>
      <c r="D7" s="4">
        <f>COUNTIF('Daily Log'!$B$2:$B$601,B7)</f>
        <v>30</v>
      </c>
      <c r="E7" s="4">
        <f>SUMIF('Daily Log'!$B$2:$B$601,B7,'Daily Log'!$E$2:$E$601)</f>
        <v>308</v>
      </c>
      <c r="F7" s="4">
        <f>SUMIF('Daily Log'!$B$2:$B$601,B7,'Daily Log'!$F$2:$F$601)</f>
        <v>297</v>
      </c>
      <c r="G7" s="16">
        <f t="shared" si="1"/>
        <v>0.9642857143</v>
      </c>
      <c r="H7" s="16">
        <f>IFERROR(AVERAGEIF('Daily Log'!$B$2:$B$601,B7,'Daily Log'!$G$2:$G$601),0)</f>
        <v>1.058751943</v>
      </c>
      <c r="I7" s="16">
        <f>IFERROR(SUMIF('Daily Log'!$B$2:$B$601,B7,'Daily Log'!$H$2:$H$601)/SUMIF('Daily Log'!$B$2:$B$601,B7,'Daily Log'!$I$2:$I$601),0)</f>
        <v>0.8830570902</v>
      </c>
      <c r="J7" s="16">
        <f>IFERROR(SUMIF('Daily Log'!$B$2:$B$601,B7,'Daily Log'!$J$2:$J$601)/SUMIF('Daily Log'!$B$2:$B$601,B7,'Daily Log'!$I$2:$I$601),0)</f>
        <v>0.04511970534</v>
      </c>
      <c r="K7" s="16">
        <f>IFERROR(SUMIF('Daily Log'!$B$2:$B$601,B7,'Daily Log'!$L$2:$L$601)/SUMIF('Daily Log'!$B$2:$B$601,B7,'Daily Log'!$M$2:$M$601),0)</f>
        <v>0.8465716225</v>
      </c>
      <c r="L7" s="4">
        <f>IFERROR(AVERAGEIF('Daily Log'!$B$2:$B$601,B7,'Daily Log'!$K$2:$K$601),0)</f>
        <v>3.88</v>
      </c>
      <c r="M7" s="4">
        <f>IFERROR(AVERAGEIF('Daily Log'!$B$2:$B$601,B7,'Daily Log'!$N$2:$N$601),0)</f>
        <v>6.793333333</v>
      </c>
      <c r="N7" s="16">
        <f>IFERROR(AVERAGEIF('Daily Log'!$B$2:$B$601,B7,'Daily Log'!$U$2:$U$601),0)</f>
        <v>0.6437770852</v>
      </c>
      <c r="O7" s="4" t="str">
        <f t="shared" si="2"/>
        <v>Needs Improvement</v>
      </c>
    </row>
    <row r="8">
      <c r="A8" s="4" t="s">
        <v>63</v>
      </c>
      <c r="B8" s="4" t="s">
        <v>65</v>
      </c>
      <c r="C8" s="4" t="s">
        <v>167</v>
      </c>
      <c r="D8" s="4">
        <f>COUNTIF('Daily Log'!$B$2:$B$601,B8)</f>
        <v>30</v>
      </c>
      <c r="E8" s="4">
        <f>SUMIF('Daily Log'!$B$2:$B$601,B8,'Daily Log'!$E$2:$E$601)</f>
        <v>329</v>
      </c>
      <c r="F8" s="4">
        <f>SUMIF('Daily Log'!$B$2:$B$601,B8,'Daily Log'!$F$2:$F$601)</f>
        <v>286</v>
      </c>
      <c r="G8" s="16">
        <f t="shared" si="1"/>
        <v>0.8693009119</v>
      </c>
      <c r="H8" s="16">
        <f>IFERROR(AVERAGEIF('Daily Log'!$B$2:$B$601,B8,'Daily Log'!$G$2:$G$601),0)</f>
        <v>0.9663785289</v>
      </c>
      <c r="I8" s="16">
        <f>IFERROR(SUMIF('Daily Log'!$B$2:$B$601,B8,'Daily Log'!$H$2:$H$601)/SUMIF('Daily Log'!$B$2:$B$601,B8,'Daily Log'!$I$2:$I$601),0)</f>
        <v>0.9132379249</v>
      </c>
      <c r="J8" s="16">
        <f>IFERROR(SUMIF('Daily Log'!$B$2:$B$601,B8,'Daily Log'!$J$2:$J$601)/SUMIF('Daily Log'!$B$2:$B$601,B8,'Daily Log'!$I$2:$I$601),0)</f>
        <v>0.05813953488</v>
      </c>
      <c r="K8" s="16">
        <f>IFERROR(SUMIF('Daily Log'!$B$2:$B$601,B8,'Daily Log'!$L$2:$L$601)/SUMIF('Daily Log'!$B$2:$B$601,B8,'Daily Log'!$M$2:$M$601),0)</f>
        <v>0.8495514148</v>
      </c>
      <c r="L8" s="4">
        <f>IFERROR(AVERAGEIF('Daily Log'!$B$2:$B$601,B8,'Daily Log'!$K$2:$K$601),0)</f>
        <v>3.233333333</v>
      </c>
      <c r="M8" s="4">
        <f>IFERROR(AVERAGEIF('Daily Log'!$B$2:$B$601,B8,'Daily Log'!$N$2:$N$601),0)</f>
        <v>6.66</v>
      </c>
      <c r="N8" s="16">
        <f>IFERROR(AVERAGEIF('Daily Log'!$B$2:$B$601,B8,'Daily Log'!$U$2:$U$601),0)</f>
        <v>0.6205651095</v>
      </c>
      <c r="O8" s="4" t="str">
        <f t="shared" si="2"/>
        <v>Needs Improvement</v>
      </c>
    </row>
    <row r="9">
      <c r="A9" s="4" t="s">
        <v>72</v>
      </c>
      <c r="B9" s="4" t="s">
        <v>73</v>
      </c>
      <c r="C9" s="4" t="s">
        <v>169</v>
      </c>
      <c r="D9" s="4">
        <f>COUNTIF('Daily Log'!$B$2:$B$601,B9)</f>
        <v>30</v>
      </c>
      <c r="E9" s="4">
        <f>SUMIF('Daily Log'!$B$2:$B$601,B9,'Daily Log'!$E$2:$E$601)</f>
        <v>359</v>
      </c>
      <c r="F9" s="4">
        <f>SUMIF('Daily Log'!$B$2:$B$601,B9,'Daily Log'!$F$2:$F$601)</f>
        <v>306</v>
      </c>
      <c r="G9" s="16">
        <f t="shared" si="1"/>
        <v>0.852367688</v>
      </c>
      <c r="H9" s="16">
        <f>IFERROR(AVERAGEIF('Daily Log'!$B$2:$B$601,B9,'Daily Log'!$G$2:$G$601),0)</f>
        <v>0.9415167703</v>
      </c>
      <c r="I9" s="16">
        <f>IFERROR(SUMIF('Daily Log'!$B$2:$B$601,B9,'Daily Log'!$H$2:$H$601)/SUMIF('Daily Log'!$B$2:$B$601,B9,'Daily Log'!$I$2:$I$601),0)</f>
        <v>0.9226240538</v>
      </c>
      <c r="J9" s="16">
        <f>IFERROR(SUMIF('Daily Log'!$B$2:$B$601,B9,'Daily Log'!$J$2:$J$601)/SUMIF('Daily Log'!$B$2:$B$601,B9,'Daily Log'!$I$2:$I$601),0)</f>
        <v>0.04793944491</v>
      </c>
      <c r="K9" s="16">
        <f>IFERROR(SUMIF('Daily Log'!$B$2:$B$601,B9,'Daily Log'!$L$2:$L$601)/SUMIF('Daily Log'!$B$2:$B$601,B9,'Daily Log'!$M$2:$M$601),0)</f>
        <v>0.8901960784</v>
      </c>
      <c r="L9" s="4">
        <f>IFERROR(AVERAGEIF('Daily Log'!$B$2:$B$601,B9,'Daily Log'!$K$2:$K$601),0)</f>
        <v>2.98</v>
      </c>
      <c r="M9" s="4">
        <f>IFERROR(AVERAGEIF('Daily Log'!$B$2:$B$601,B9,'Daily Log'!$N$2:$N$601),0)</f>
        <v>6.936666667</v>
      </c>
      <c r="N9" s="16">
        <f>IFERROR(AVERAGEIF('Daily Log'!$B$2:$B$601,B9,'Daily Log'!$U$2:$U$601),0)</f>
        <v>0.634837844</v>
      </c>
      <c r="O9" s="4" t="str">
        <f t="shared" si="2"/>
        <v>Needs Improvement</v>
      </c>
    </row>
    <row r="10">
      <c r="A10" s="4" t="s">
        <v>77</v>
      </c>
      <c r="B10" s="4" t="s">
        <v>78</v>
      </c>
      <c r="C10" s="4" t="s">
        <v>171</v>
      </c>
      <c r="D10" s="4">
        <f>COUNTIF('Daily Log'!$B$2:$B$601,B10)</f>
        <v>30</v>
      </c>
      <c r="E10" s="4">
        <f>SUMIF('Daily Log'!$B$2:$B$601,B10,'Daily Log'!$E$2:$E$601)</f>
        <v>309</v>
      </c>
      <c r="F10" s="4">
        <f>SUMIF('Daily Log'!$B$2:$B$601,B10,'Daily Log'!$F$2:$F$601)</f>
        <v>301</v>
      </c>
      <c r="G10" s="16">
        <f t="shared" si="1"/>
        <v>0.9741100324</v>
      </c>
      <c r="H10" s="16">
        <f>IFERROR(AVERAGEIF('Daily Log'!$B$2:$B$601,B10,'Daily Log'!$G$2:$G$601),0)</f>
        <v>1.064179755</v>
      </c>
      <c r="I10" s="16">
        <f>IFERROR(SUMIF('Daily Log'!$B$2:$B$601,B10,'Daily Log'!$H$2:$H$601)/SUMIF('Daily Log'!$B$2:$B$601,B10,'Daily Log'!$I$2:$I$601),0)</f>
        <v>0.9150382328</v>
      </c>
      <c r="J10" s="16">
        <f>IFERROR(SUMIF('Daily Log'!$B$2:$B$601,B10,'Daily Log'!$J$2:$J$601)/SUMIF('Daily Log'!$B$2:$B$601,B10,'Daily Log'!$I$2:$I$601),0)</f>
        <v>0.04842820731</v>
      </c>
      <c r="K10" s="16">
        <f>IFERROR(SUMIF('Daily Log'!$B$2:$B$601,B10,'Daily Log'!$L$2:$L$601)/SUMIF('Daily Log'!$B$2:$B$601,B10,'Daily Log'!$M$2:$M$601),0)</f>
        <v>0.8827964359</v>
      </c>
      <c r="L10" s="4">
        <f>IFERROR(AVERAGEIF('Daily Log'!$B$2:$B$601,B10,'Daily Log'!$K$2:$K$601),0)</f>
        <v>3.33</v>
      </c>
      <c r="M10" s="4">
        <f>IFERROR(AVERAGEIF('Daily Log'!$B$2:$B$601,B10,'Daily Log'!$N$2:$N$601),0)</f>
        <v>6.71</v>
      </c>
      <c r="N10" s="16">
        <f>IFERROR(AVERAGEIF('Daily Log'!$B$2:$B$601,B10,'Daily Log'!$U$2:$U$601),0)</f>
        <v>0.6459955257</v>
      </c>
      <c r="O10" s="4" t="str">
        <f t="shared" si="2"/>
        <v>Needs Improvement</v>
      </c>
    </row>
    <row r="11">
      <c r="A11" s="4" t="s">
        <v>83</v>
      </c>
      <c r="B11" s="4" t="s">
        <v>84</v>
      </c>
      <c r="C11" s="4" t="s">
        <v>179</v>
      </c>
      <c r="D11" s="4">
        <f>COUNTIF('Daily Log'!$B$2:$B$601,B11)</f>
        <v>30</v>
      </c>
      <c r="E11" s="4">
        <f>SUMIF('Daily Log'!$B$2:$B$601,B11,'Daily Log'!$E$2:$E$601)</f>
        <v>335</v>
      </c>
      <c r="F11" s="4">
        <f>SUMIF('Daily Log'!$B$2:$B$601,B11,'Daily Log'!$F$2:$F$601)</f>
        <v>321</v>
      </c>
      <c r="G11" s="16">
        <f t="shared" si="1"/>
        <v>0.9582089552</v>
      </c>
      <c r="H11" s="16">
        <f>IFERROR(AVERAGEIF('Daily Log'!$B$2:$B$601,B11,'Daily Log'!$G$2:$G$601),0)</f>
        <v>1.01387062</v>
      </c>
      <c r="I11" s="16">
        <f>IFERROR(SUMIF('Daily Log'!$B$2:$B$601,B11,'Daily Log'!$H$2:$H$601)/SUMIF('Daily Log'!$B$2:$B$601,B11,'Daily Log'!$I$2:$I$601),0)</f>
        <v>0.9129287599</v>
      </c>
      <c r="J11" s="16">
        <f>IFERROR(SUMIF('Daily Log'!$B$2:$B$601,B11,'Daily Log'!$J$2:$J$601)/SUMIF('Daily Log'!$B$2:$B$601,B11,'Daily Log'!$I$2:$I$601),0)</f>
        <v>0.04661389622</v>
      </c>
      <c r="K11" s="16">
        <f>IFERROR(SUMIF('Daily Log'!$B$2:$B$601,B11,'Daily Log'!$L$2:$L$601)/SUMIF('Daily Log'!$B$2:$B$601,B11,'Daily Log'!$M$2:$M$601),0)</f>
        <v>0.8761840325</v>
      </c>
      <c r="L11" s="4">
        <f>IFERROR(AVERAGEIF('Daily Log'!$B$2:$B$601,B11,'Daily Log'!$K$2:$K$601),0)</f>
        <v>3.19</v>
      </c>
      <c r="M11" s="4">
        <f>IFERROR(AVERAGEIF('Daily Log'!$B$2:$B$601,B11,'Daily Log'!$N$2:$N$601),0)</f>
        <v>6.633333333</v>
      </c>
      <c r="N11" s="16">
        <f>IFERROR(AVERAGEIF('Daily Log'!$B$2:$B$601,B11,'Daily Log'!$U$2:$U$601),0)</f>
        <v>0.6288704554</v>
      </c>
      <c r="O11" s="4" t="str">
        <f t="shared" si="2"/>
        <v>Needs Improvement</v>
      </c>
    </row>
    <row r="12">
      <c r="A12" s="4" t="s">
        <v>89</v>
      </c>
      <c r="B12" s="4" t="s">
        <v>91</v>
      </c>
      <c r="C12" s="4" t="s">
        <v>188</v>
      </c>
      <c r="D12" s="4">
        <f>COUNTIF('Daily Log'!$B$2:$B$601,B12)</f>
        <v>30</v>
      </c>
      <c r="E12" s="4">
        <f>SUMIF('Daily Log'!$B$2:$B$601,B12,'Daily Log'!$E$2:$E$601)</f>
        <v>353</v>
      </c>
      <c r="F12" s="4">
        <f>SUMIF('Daily Log'!$B$2:$B$601,B12,'Daily Log'!$F$2:$F$601)</f>
        <v>329</v>
      </c>
      <c r="G12" s="16">
        <f t="shared" si="1"/>
        <v>0.9320113314</v>
      </c>
      <c r="H12" s="16">
        <f>IFERROR(AVERAGEIF('Daily Log'!$B$2:$B$601,B12,'Daily Log'!$G$2:$G$601),0)</f>
        <v>1.025557544</v>
      </c>
      <c r="I12" s="16">
        <f>IFERROR(SUMIF('Daily Log'!$B$2:$B$601,B12,'Daily Log'!$H$2:$H$601)/SUMIF('Daily Log'!$B$2:$B$601,B12,'Daily Log'!$I$2:$I$601),0)</f>
        <v>0.9199009083</v>
      </c>
      <c r="J12" s="16">
        <f>IFERROR(SUMIF('Daily Log'!$B$2:$B$601,B12,'Daily Log'!$J$2:$J$601)/SUMIF('Daily Log'!$B$2:$B$601,B12,'Daily Log'!$I$2:$I$601),0)</f>
        <v>0.04376548307</v>
      </c>
      <c r="K12" s="16">
        <f>IFERROR(SUMIF('Daily Log'!$B$2:$B$601,B12,'Daily Log'!$L$2:$L$601)/SUMIF('Daily Log'!$B$2:$B$601,B12,'Daily Log'!$M$2:$M$601),0)</f>
        <v>0.868033312</v>
      </c>
      <c r="L12" s="4">
        <f>IFERROR(AVERAGEIF('Daily Log'!$B$2:$B$601,B12,'Daily Log'!$K$2:$K$601),0)</f>
        <v>3.3</v>
      </c>
      <c r="M12" s="4">
        <f>IFERROR(AVERAGEIF('Daily Log'!$B$2:$B$601,B12,'Daily Log'!$N$2:$N$601),0)</f>
        <v>6.9</v>
      </c>
      <c r="N12" s="16">
        <f>IFERROR(AVERAGEIF('Daily Log'!$B$2:$B$601,B12,'Daily Log'!$U$2:$U$601),0)</f>
        <v>0.6514053417</v>
      </c>
      <c r="O12" s="4" t="str">
        <f t="shared" si="2"/>
        <v>Needs Improvement</v>
      </c>
    </row>
    <row r="13">
      <c r="A13" s="4" t="s">
        <v>99</v>
      </c>
      <c r="B13" s="4" t="s">
        <v>100</v>
      </c>
      <c r="C13" s="4" t="s">
        <v>190</v>
      </c>
      <c r="D13" s="4">
        <f>COUNTIF('Daily Log'!$B$2:$B$601,B13)</f>
        <v>30</v>
      </c>
      <c r="E13" s="4">
        <f>SUMIF('Daily Log'!$B$2:$B$601,B13,'Daily Log'!$E$2:$E$601)</f>
        <v>365</v>
      </c>
      <c r="F13" s="4">
        <f>SUMIF('Daily Log'!$B$2:$B$601,B13,'Daily Log'!$F$2:$F$601)</f>
        <v>334</v>
      </c>
      <c r="G13" s="16">
        <f t="shared" si="1"/>
        <v>0.9150684932</v>
      </c>
      <c r="H13" s="16">
        <f>IFERROR(AVERAGEIF('Daily Log'!$B$2:$B$601,B13,'Daily Log'!$G$2:$G$601),0)</f>
        <v>1.006320716</v>
      </c>
      <c r="I13" s="16">
        <f>IFERROR(SUMIF('Daily Log'!$B$2:$B$601,B13,'Daily Log'!$H$2:$H$601)/SUMIF('Daily Log'!$B$2:$B$601,B13,'Daily Log'!$I$2:$I$601),0)</f>
        <v>0.9157631359</v>
      </c>
      <c r="J13" s="16">
        <f>IFERROR(SUMIF('Daily Log'!$B$2:$B$601,B13,'Daily Log'!$J$2:$J$601)/SUMIF('Daily Log'!$B$2:$B$601,B13,'Daily Log'!$I$2:$I$601),0)</f>
        <v>0.04920767306</v>
      </c>
      <c r="K13" s="16">
        <f>IFERROR(SUMIF('Daily Log'!$B$2:$B$601,B13,'Daily Log'!$L$2:$L$601)/SUMIF('Daily Log'!$B$2:$B$601,B13,'Daily Log'!$M$2:$M$601),0)</f>
        <v>0.8778576094</v>
      </c>
      <c r="L13" s="4">
        <f>IFERROR(AVERAGEIF('Daily Log'!$B$2:$B$601,B13,'Daily Log'!$K$2:$K$601),0)</f>
        <v>3.203333333</v>
      </c>
      <c r="M13" s="4">
        <f>IFERROR(AVERAGEIF('Daily Log'!$B$2:$B$601,B13,'Daily Log'!$N$2:$N$601),0)</f>
        <v>7.246666667</v>
      </c>
      <c r="N13" s="16">
        <f>IFERROR(AVERAGEIF('Daily Log'!$B$2:$B$601,B13,'Daily Log'!$U$2:$U$601),0)</f>
        <v>0.6461427918</v>
      </c>
      <c r="O13" s="4" t="str">
        <f t="shared" si="2"/>
        <v>Needs Improvement</v>
      </c>
    </row>
    <row r="14">
      <c r="A14" s="4" t="s">
        <v>108</v>
      </c>
      <c r="B14" s="4" t="s">
        <v>109</v>
      </c>
      <c r="C14" s="4" t="s">
        <v>14</v>
      </c>
      <c r="D14" s="4">
        <f>COUNTIF('Daily Log'!$B$2:$B$601,B14)</f>
        <v>30</v>
      </c>
      <c r="E14" s="4">
        <f>SUMIF('Daily Log'!$B$2:$B$601,B14,'Daily Log'!$E$2:$E$601)</f>
        <v>323</v>
      </c>
      <c r="F14" s="4">
        <f>SUMIF('Daily Log'!$B$2:$B$601,B14,'Daily Log'!$F$2:$F$601)</f>
        <v>333</v>
      </c>
      <c r="G14" s="16">
        <f t="shared" si="1"/>
        <v>1.030959752</v>
      </c>
      <c r="H14" s="16">
        <f>IFERROR(AVERAGEIF('Daily Log'!$B$2:$B$601,B14,'Daily Log'!$G$2:$G$601),0)</f>
        <v>1.113327506</v>
      </c>
      <c r="I14" s="16">
        <f>IFERROR(SUMIF('Daily Log'!$B$2:$B$601,B14,'Daily Log'!$H$2:$H$601)/SUMIF('Daily Log'!$B$2:$B$601,B14,'Daily Log'!$I$2:$I$601),0)</f>
        <v>0.9048020219</v>
      </c>
      <c r="J14" s="16">
        <f>IFERROR(SUMIF('Daily Log'!$B$2:$B$601,B14,'Daily Log'!$J$2:$J$601)/SUMIF('Daily Log'!$B$2:$B$601,B14,'Daily Log'!$I$2:$I$601),0)</f>
        <v>0.04549283909</v>
      </c>
      <c r="K14" s="16">
        <f>IFERROR(SUMIF('Daily Log'!$B$2:$B$601,B14,'Daily Log'!$L$2:$L$601)/SUMIF('Daily Log'!$B$2:$B$601,B14,'Daily Log'!$M$2:$M$601),0)</f>
        <v>0.8766846361</v>
      </c>
      <c r="L14" s="4">
        <f>IFERROR(AVERAGEIF('Daily Log'!$B$2:$B$601,B14,'Daily Log'!$K$2:$K$601),0)</f>
        <v>3.8</v>
      </c>
      <c r="M14" s="4">
        <f>IFERROR(AVERAGEIF('Daily Log'!$B$2:$B$601,B14,'Daily Log'!$N$2:$N$601),0)</f>
        <v>6.85</v>
      </c>
      <c r="N14" s="16">
        <f>IFERROR(AVERAGEIF('Daily Log'!$B$2:$B$601,B14,'Daily Log'!$U$2:$U$601),0)</f>
        <v>0.6572925746</v>
      </c>
      <c r="O14" s="4" t="str">
        <f t="shared" si="2"/>
        <v>Needs Improvement</v>
      </c>
    </row>
    <row r="15">
      <c r="A15" s="4" t="s">
        <v>114</v>
      </c>
      <c r="B15" s="4" t="s">
        <v>115</v>
      </c>
      <c r="C15" s="4" t="s">
        <v>167</v>
      </c>
      <c r="D15" s="4">
        <f>COUNTIF('Daily Log'!$B$2:$B$601,B15)</f>
        <v>30</v>
      </c>
      <c r="E15" s="4">
        <f>SUMIF('Daily Log'!$B$2:$B$601,B15,'Daily Log'!$E$2:$E$601)</f>
        <v>325</v>
      </c>
      <c r="F15" s="4">
        <f>SUMIF('Daily Log'!$B$2:$B$601,B15,'Daily Log'!$F$2:$F$601)</f>
        <v>324</v>
      </c>
      <c r="G15" s="16">
        <f t="shared" si="1"/>
        <v>0.9969230769</v>
      </c>
      <c r="H15" s="16">
        <f>IFERROR(AVERAGEIF('Daily Log'!$B$2:$B$601,B15,'Daily Log'!$G$2:$G$601),0)</f>
        <v>1.112307739</v>
      </c>
      <c r="I15" s="16">
        <f>IFERROR(SUMIF('Daily Log'!$B$2:$B$601,B15,'Daily Log'!$H$2:$H$601)/SUMIF('Daily Log'!$B$2:$B$601,B15,'Daily Log'!$I$2:$I$601),0)</f>
        <v>0.9187062937</v>
      </c>
      <c r="J15" s="16">
        <f>IFERROR(SUMIF('Daily Log'!$B$2:$B$601,B15,'Daily Log'!$J$2:$J$601)/SUMIF('Daily Log'!$B$2:$B$601,B15,'Daily Log'!$I$2:$I$601),0)</f>
        <v>0.04545454545</v>
      </c>
      <c r="K15" s="16">
        <f>IFERROR(SUMIF('Daily Log'!$B$2:$B$601,B15,'Daily Log'!$L$2:$L$601)/SUMIF('Daily Log'!$B$2:$B$601,B15,'Daily Log'!$M$2:$M$601),0)</f>
        <v>0.8832417582</v>
      </c>
      <c r="L15" s="4">
        <f>IFERROR(AVERAGEIF('Daily Log'!$B$2:$B$601,B15,'Daily Log'!$K$2:$K$601),0)</f>
        <v>3.226666667</v>
      </c>
      <c r="M15" s="4">
        <f>IFERROR(AVERAGEIF('Daily Log'!$B$2:$B$601,B15,'Daily Log'!$N$2:$N$601),0)</f>
        <v>6.85</v>
      </c>
      <c r="N15" s="16">
        <f>IFERROR(AVERAGEIF('Daily Log'!$B$2:$B$601,B15,'Daily Log'!$U$2:$U$601),0)</f>
        <v>0.6411758073</v>
      </c>
      <c r="O15" s="4" t="str">
        <f t="shared" si="2"/>
        <v>Needs Improvement</v>
      </c>
    </row>
    <row r="16">
      <c r="A16" s="4" t="s">
        <v>117</v>
      </c>
      <c r="B16" s="4" t="s">
        <v>118</v>
      </c>
      <c r="C16" s="4" t="s">
        <v>169</v>
      </c>
      <c r="D16" s="4">
        <f>COUNTIF('Daily Log'!$B$2:$B$601,B16)</f>
        <v>30</v>
      </c>
      <c r="E16" s="4">
        <f>SUMIF('Daily Log'!$B$2:$B$601,B16,'Daily Log'!$E$2:$E$601)</f>
        <v>300</v>
      </c>
      <c r="F16" s="4">
        <f>SUMIF('Daily Log'!$B$2:$B$601,B16,'Daily Log'!$F$2:$F$601)</f>
        <v>304</v>
      </c>
      <c r="G16" s="16">
        <f t="shared" si="1"/>
        <v>1.013333333</v>
      </c>
      <c r="H16" s="16">
        <f>IFERROR(AVERAGEIF('Daily Log'!$B$2:$B$601,B16,'Daily Log'!$G$2:$G$601),0)</f>
        <v>1.132739436</v>
      </c>
      <c r="I16" s="16">
        <f>IFERROR(SUMIF('Daily Log'!$B$2:$B$601,B16,'Daily Log'!$H$2:$H$601)/SUMIF('Daily Log'!$B$2:$B$601,B16,'Daily Log'!$I$2:$I$601),0)</f>
        <v>0.9141886151</v>
      </c>
      <c r="J16" s="16">
        <f>IFERROR(SUMIF('Daily Log'!$B$2:$B$601,B16,'Daily Log'!$J$2:$J$601)/SUMIF('Daily Log'!$B$2:$B$601,B16,'Daily Log'!$I$2:$I$601),0)</f>
        <v>0.04757858963</v>
      </c>
      <c r="K16" s="16">
        <f>IFERROR(SUMIF('Daily Log'!$B$2:$B$601,B16,'Daily Log'!$L$2:$L$601)/SUMIF('Daily Log'!$B$2:$B$601,B16,'Daily Log'!$M$2:$M$601),0)</f>
        <v>0.8612191958</v>
      </c>
      <c r="L16" s="4">
        <f>IFERROR(AVERAGEIF('Daily Log'!$B$2:$B$601,B16,'Daily Log'!$K$2:$K$601),0)</f>
        <v>3.543333333</v>
      </c>
      <c r="M16" s="4">
        <f>IFERROR(AVERAGEIF('Daily Log'!$B$2:$B$601,B16,'Daily Log'!$N$2:$N$601),0)</f>
        <v>7.153333333</v>
      </c>
      <c r="N16" s="16">
        <f>IFERROR(AVERAGEIF('Daily Log'!$B$2:$B$601,B16,'Daily Log'!$U$2:$U$601),0)</f>
        <v>0.6548212546</v>
      </c>
      <c r="O16" s="4" t="str">
        <f t="shared" si="2"/>
        <v>Needs Improvement</v>
      </c>
    </row>
    <row r="17">
      <c r="A17" s="4" t="s">
        <v>122</v>
      </c>
      <c r="B17" s="4" t="s">
        <v>123</v>
      </c>
      <c r="C17" s="4" t="s">
        <v>171</v>
      </c>
      <c r="D17" s="4">
        <f>COUNTIF('Daily Log'!$B$2:$B$601,B17)</f>
        <v>30</v>
      </c>
      <c r="E17" s="4">
        <f>SUMIF('Daily Log'!$B$2:$B$601,B17,'Daily Log'!$E$2:$E$601)</f>
        <v>327</v>
      </c>
      <c r="F17" s="4">
        <f>SUMIF('Daily Log'!$B$2:$B$601,B17,'Daily Log'!$F$2:$F$601)</f>
        <v>309</v>
      </c>
      <c r="G17" s="16">
        <f t="shared" si="1"/>
        <v>0.9449541284</v>
      </c>
      <c r="H17" s="16">
        <f>IFERROR(AVERAGEIF('Daily Log'!$B$2:$B$601,B17,'Daily Log'!$G$2:$G$601),0)</f>
        <v>1.002212833</v>
      </c>
      <c r="I17" s="16">
        <f>IFERROR(SUMIF('Daily Log'!$B$2:$B$601,B17,'Daily Log'!$H$2:$H$601)/SUMIF('Daily Log'!$B$2:$B$601,B17,'Daily Log'!$I$2:$I$601),0)</f>
        <v>0.9209265176</v>
      </c>
      <c r="J17" s="16">
        <f>IFERROR(SUMIF('Daily Log'!$B$2:$B$601,B17,'Daily Log'!$J$2:$J$601)/SUMIF('Daily Log'!$B$2:$B$601,B17,'Daily Log'!$I$2:$I$601),0)</f>
        <v>0.04073482428</v>
      </c>
      <c r="K17" s="16">
        <f>IFERROR(SUMIF('Daily Log'!$B$2:$B$601,B17,'Daily Log'!$L$2:$L$601)/SUMIF('Daily Log'!$B$2:$B$601,B17,'Daily Log'!$M$2:$M$601),0)</f>
        <v>0.8990944373</v>
      </c>
      <c r="L17" s="4">
        <f>IFERROR(AVERAGEIF('Daily Log'!$B$2:$B$601,B17,'Daily Log'!$K$2:$K$601),0)</f>
        <v>3.17</v>
      </c>
      <c r="M17" s="4">
        <f>IFERROR(AVERAGEIF('Daily Log'!$B$2:$B$601,B17,'Daily Log'!$N$2:$N$601),0)</f>
        <v>7.026666667</v>
      </c>
      <c r="N17" s="16">
        <f>IFERROR(AVERAGEIF('Daily Log'!$B$2:$B$601,B17,'Daily Log'!$U$2:$U$601),0)</f>
        <v>0.6599331564</v>
      </c>
      <c r="O17" s="4" t="str">
        <f t="shared" si="2"/>
        <v>Needs Improvement</v>
      </c>
    </row>
    <row r="18">
      <c r="A18" s="4" t="s">
        <v>125</v>
      </c>
      <c r="B18" s="4" t="s">
        <v>126</v>
      </c>
      <c r="C18" s="4" t="s">
        <v>179</v>
      </c>
      <c r="D18" s="4">
        <f>COUNTIF('Daily Log'!$B$2:$B$601,B18)</f>
        <v>30</v>
      </c>
      <c r="E18" s="4">
        <f>SUMIF('Daily Log'!$B$2:$B$601,B18,'Daily Log'!$E$2:$E$601)</f>
        <v>335</v>
      </c>
      <c r="F18" s="4">
        <f>SUMIF('Daily Log'!$B$2:$B$601,B18,'Daily Log'!$F$2:$F$601)</f>
        <v>304</v>
      </c>
      <c r="G18" s="16">
        <f t="shared" si="1"/>
        <v>0.9074626866</v>
      </c>
      <c r="H18" s="16">
        <f>IFERROR(AVERAGEIF('Daily Log'!$B$2:$B$601,B18,'Daily Log'!$G$2:$G$601),0)</f>
        <v>0.9910788748</v>
      </c>
      <c r="I18" s="16">
        <f>IFERROR(SUMIF('Daily Log'!$B$2:$B$601,B18,'Daily Log'!$H$2:$H$601)/SUMIF('Daily Log'!$B$2:$B$601,B18,'Daily Log'!$I$2:$I$601),0)</f>
        <v>0.9148375768</v>
      </c>
      <c r="J18" s="16">
        <f>IFERROR(SUMIF('Daily Log'!$B$2:$B$601,B18,'Daily Log'!$J$2:$J$601)/SUMIF('Daily Log'!$B$2:$B$601,B18,'Daily Log'!$I$2:$I$601),0)</f>
        <v>0.04828797191</v>
      </c>
      <c r="K18" s="16">
        <f>IFERROR(SUMIF('Daily Log'!$B$2:$B$601,B18,'Daily Log'!$L$2:$L$601)/SUMIF('Daily Log'!$B$2:$B$601,B18,'Daily Log'!$M$2:$M$601),0)</f>
        <v>0.8513333333</v>
      </c>
      <c r="L18" s="4">
        <f>IFERROR(AVERAGEIF('Daily Log'!$B$2:$B$601,B18,'Daily Log'!$K$2:$K$601),0)</f>
        <v>3.656666667</v>
      </c>
      <c r="M18" s="4">
        <f>IFERROR(AVERAGEIF('Daily Log'!$B$2:$B$601,B18,'Daily Log'!$N$2:$N$601),0)</f>
        <v>6.736666667</v>
      </c>
      <c r="N18" s="16">
        <f>IFERROR(AVERAGEIF('Daily Log'!$B$2:$B$601,B18,'Daily Log'!$U$2:$U$601),0)</f>
        <v>0.6278650166</v>
      </c>
      <c r="O18" s="4" t="str">
        <f t="shared" si="2"/>
        <v>Needs Improvement</v>
      </c>
    </row>
    <row r="19">
      <c r="A19" s="4" t="s">
        <v>128</v>
      </c>
      <c r="B19" s="4" t="s">
        <v>129</v>
      </c>
      <c r="C19" s="4" t="s">
        <v>188</v>
      </c>
      <c r="D19" s="4">
        <f>COUNTIF('Daily Log'!$B$2:$B$601,B19)</f>
        <v>30</v>
      </c>
      <c r="E19" s="4">
        <f>SUMIF('Daily Log'!$B$2:$B$601,B19,'Daily Log'!$E$2:$E$601)</f>
        <v>340</v>
      </c>
      <c r="F19" s="4">
        <f>SUMIF('Daily Log'!$B$2:$B$601,B19,'Daily Log'!$F$2:$F$601)</f>
        <v>348</v>
      </c>
      <c r="G19" s="16">
        <f t="shared" si="1"/>
        <v>1.023529412</v>
      </c>
      <c r="H19" s="16">
        <f>IFERROR(AVERAGEIF('Daily Log'!$B$2:$B$601,B19,'Daily Log'!$G$2:$G$601),0)</f>
        <v>1.149958884</v>
      </c>
      <c r="I19" s="16">
        <f>IFERROR(SUMIF('Daily Log'!$B$2:$B$601,B19,'Daily Log'!$H$2:$H$601)/SUMIF('Daily Log'!$B$2:$B$601,B19,'Daily Log'!$I$2:$I$601),0)</f>
        <v>0.9244042728</v>
      </c>
      <c r="J19" s="16">
        <f>IFERROR(SUMIF('Daily Log'!$B$2:$B$601,B19,'Daily Log'!$J$2:$J$601)/SUMIF('Daily Log'!$B$2:$B$601,B19,'Daily Log'!$I$2:$I$601),0)</f>
        <v>0.04765817584</v>
      </c>
      <c r="K19" s="16">
        <f>IFERROR(SUMIF('Daily Log'!$B$2:$B$601,B19,'Daily Log'!$L$2:$L$601)/SUMIF('Daily Log'!$B$2:$B$601,B19,'Daily Log'!$M$2:$M$601),0)</f>
        <v>0.8869165023</v>
      </c>
      <c r="L19" s="4">
        <f>IFERROR(AVERAGEIF('Daily Log'!$B$2:$B$601,B19,'Daily Log'!$K$2:$K$601),0)</f>
        <v>3.24</v>
      </c>
      <c r="M19" s="4">
        <f>IFERROR(AVERAGEIF('Daily Log'!$B$2:$B$601,B19,'Daily Log'!$N$2:$N$601),0)</f>
        <v>6.896666667</v>
      </c>
      <c r="N19" s="16">
        <f>IFERROR(AVERAGEIF('Daily Log'!$B$2:$B$601,B19,'Daily Log'!$U$2:$U$601),0)</f>
        <v>0.6424139302</v>
      </c>
      <c r="O19" s="4" t="str">
        <f t="shared" si="2"/>
        <v>Needs Improvement</v>
      </c>
    </row>
    <row r="20">
      <c r="A20" s="4" t="s">
        <v>131</v>
      </c>
      <c r="B20" s="4" t="s">
        <v>132</v>
      </c>
      <c r="C20" s="4" t="s">
        <v>190</v>
      </c>
      <c r="D20" s="4">
        <f>COUNTIF('Daily Log'!$B$2:$B$601,B20)</f>
        <v>30</v>
      </c>
      <c r="E20" s="4">
        <f>SUMIF('Daily Log'!$B$2:$B$601,B20,'Daily Log'!$E$2:$E$601)</f>
        <v>344</v>
      </c>
      <c r="F20" s="4">
        <f>SUMIF('Daily Log'!$B$2:$B$601,B20,'Daily Log'!$F$2:$F$601)</f>
        <v>328</v>
      </c>
      <c r="G20" s="16">
        <f t="shared" si="1"/>
        <v>0.9534883721</v>
      </c>
      <c r="H20" s="16">
        <f>IFERROR(AVERAGEIF('Daily Log'!$B$2:$B$601,B20,'Daily Log'!$G$2:$G$601),0)</f>
        <v>1.08142316</v>
      </c>
      <c r="I20" s="16">
        <f>IFERROR(SUMIF('Daily Log'!$B$2:$B$601,B20,'Daily Log'!$H$2:$H$601)/SUMIF('Daily Log'!$B$2:$B$601,B20,'Daily Log'!$I$2:$I$601),0)</f>
        <v>0.9162348877</v>
      </c>
      <c r="J20" s="16">
        <f>IFERROR(SUMIF('Daily Log'!$B$2:$B$601,B20,'Daily Log'!$J$2:$J$601)/SUMIF('Daily Log'!$B$2:$B$601,B20,'Daily Log'!$I$2:$I$601),0)</f>
        <v>0.04576856649</v>
      </c>
      <c r="K20" s="16">
        <f>IFERROR(SUMIF('Daily Log'!$B$2:$B$601,B20,'Daily Log'!$L$2:$L$601)/SUMIF('Daily Log'!$B$2:$B$601,B20,'Daily Log'!$M$2:$M$601),0)</f>
        <v>0.8563648741</v>
      </c>
      <c r="L20" s="4">
        <f>IFERROR(AVERAGEIF('Daily Log'!$B$2:$B$601,B20,'Daily Log'!$K$2:$K$601),0)</f>
        <v>3.216666667</v>
      </c>
      <c r="M20" s="4">
        <f>IFERROR(AVERAGEIF('Daily Log'!$B$2:$B$601,B20,'Daily Log'!$N$2:$N$601),0)</f>
        <v>6.776666667</v>
      </c>
      <c r="N20" s="16">
        <f>IFERROR(AVERAGEIF('Daily Log'!$B$2:$B$601,B20,'Daily Log'!$U$2:$U$601),0)</f>
        <v>0.6337270594</v>
      </c>
      <c r="O20" s="4" t="str">
        <f t="shared" si="2"/>
        <v>Needs Improvement</v>
      </c>
    </row>
    <row r="21">
      <c r="A21" s="4" t="s">
        <v>134</v>
      </c>
      <c r="B21" s="4" t="s">
        <v>135</v>
      </c>
      <c r="C21" s="4" t="s">
        <v>169</v>
      </c>
      <c r="D21" s="4">
        <f>COUNTIF('Daily Log'!$B$2:$B$601,B21)</f>
        <v>30</v>
      </c>
      <c r="E21" s="4">
        <f>SUMIF('Daily Log'!$B$2:$B$601,B21,'Daily Log'!$E$2:$E$601)</f>
        <v>317</v>
      </c>
      <c r="F21" s="4">
        <f>SUMIF('Daily Log'!$B$2:$B$601,B21,'Daily Log'!$F$2:$F$601)</f>
        <v>286</v>
      </c>
      <c r="G21" s="16">
        <f t="shared" si="1"/>
        <v>0.9022082019</v>
      </c>
      <c r="H21" s="16">
        <f>IFERROR(AVERAGEIF('Daily Log'!$B$2:$B$601,B21,'Daily Log'!$G$2:$G$601),0)</f>
        <v>1.012397695</v>
      </c>
      <c r="I21" s="16">
        <f>IFERROR(SUMIF('Daily Log'!$B$2:$B$601,B21,'Daily Log'!$H$2:$H$601)/SUMIF('Daily Log'!$B$2:$B$601,B21,'Daily Log'!$I$2:$I$601),0)</f>
        <v>0.9178662151</v>
      </c>
      <c r="J21" s="16">
        <f>IFERROR(SUMIF('Daily Log'!$B$2:$B$601,B21,'Daily Log'!$J$2:$J$601)/SUMIF('Daily Log'!$B$2:$B$601,B21,'Daily Log'!$I$2:$I$601),0)</f>
        <v>0.04403048264</v>
      </c>
      <c r="K21" s="16">
        <f>IFERROR(SUMIF('Daily Log'!$B$2:$B$601,B21,'Daily Log'!$L$2:$L$601)/SUMIF('Daily Log'!$B$2:$B$601,B21,'Daily Log'!$M$2:$M$601),0)</f>
        <v>0.8469727212</v>
      </c>
      <c r="L21" s="4">
        <f>IFERROR(AVERAGEIF('Daily Log'!$B$2:$B$601,B21,'Daily Log'!$K$2:$K$601),0)</f>
        <v>3.72</v>
      </c>
      <c r="M21" s="4">
        <f>IFERROR(AVERAGEIF('Daily Log'!$B$2:$B$601,B21,'Daily Log'!$N$2:$N$601),0)</f>
        <v>6.65</v>
      </c>
      <c r="N21" s="16">
        <f>IFERROR(AVERAGEIF('Daily Log'!$B$2:$B$601,B21,'Daily Log'!$U$2:$U$601),0)</f>
        <v>0.6413042265</v>
      </c>
      <c r="O21" s="4" t="str">
        <f t="shared" si="2"/>
        <v>Needs Improvement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